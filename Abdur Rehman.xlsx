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Ar Khan\OneDrive\Desktop\BANO QABIL\Piston College\"/>
    </mc:Choice>
  </mc:AlternateContent>
  <xr:revisionPtr revIDLastSave="0" documentId="13_ncr:1_{EB747BC0-5ED2-469D-8876-C793D7FC1EAD}" xr6:coauthVersionLast="47" xr6:coauthVersionMax="47" xr10:uidLastSave="{00000000-0000-0000-0000-000000000000}"/>
  <bookViews>
    <workbookView xWindow="-120" yWindow="-120" windowWidth="20730" windowHeight="11040" xr2:uid="{67F489BE-F391-4153-A59E-68AC1F9CF743}"/>
  </bookViews>
  <sheets>
    <sheet name="CIT(F)-8568" sheetId="1" r:id="rId1"/>
    <sheet name="CIT(M)-8517" sheetId="2" r:id="rId2"/>
    <sheet name="CIT(F)-8567" sheetId="3" r:id="rId3"/>
    <sheet name="CIT(M)-851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4" i="4"/>
  <c r="D15" i="2"/>
  <c r="C11" i="2"/>
  <c r="C12" i="2"/>
  <c r="C13" i="2"/>
  <c r="D25" i="2"/>
  <c r="D10" i="3"/>
  <c r="C21" i="2"/>
  <c r="D4" i="1"/>
  <c r="D2" i="4"/>
  <c r="D7" i="4"/>
  <c r="D10" i="2"/>
  <c r="D6" i="4"/>
  <c r="D16" i="3"/>
  <c r="D5" i="1"/>
  <c r="C26" i="2"/>
  <c r="C31" i="1"/>
  <c r="C20" i="3"/>
  <c r="C21" i="1"/>
  <c r="C23" i="2"/>
  <c r="C20" i="2"/>
  <c r="D18" i="3"/>
  <c r="D6" i="2"/>
  <c r="C3" i="1"/>
  <c r="D8" i="3"/>
  <c r="C2" i="3"/>
  <c r="D28" i="1"/>
  <c r="C3" i="4"/>
  <c r="D25" i="1"/>
  <c r="D13" i="3"/>
  <c r="C17" i="3"/>
  <c r="D3" i="4"/>
  <c r="C41" i="1"/>
  <c r="D7" i="3"/>
  <c r="C3" i="2"/>
  <c r="D17" i="2"/>
  <c r="D18" i="1"/>
  <c r="C4" i="2"/>
  <c r="C2" i="1"/>
  <c r="C10" i="4"/>
  <c r="D3" i="3"/>
  <c r="D23" i="2"/>
  <c r="D19" i="3"/>
  <c r="C35" i="1"/>
  <c r="D37" i="1"/>
  <c r="D23" i="1"/>
  <c r="D9" i="2"/>
  <c r="D14" i="4"/>
  <c r="D13" i="4"/>
  <c r="D20" i="1"/>
  <c r="C8" i="1"/>
  <c r="C3" i="3"/>
  <c r="C8" i="3"/>
  <c r="D4" i="4"/>
  <c r="D11" i="4"/>
  <c r="D40" i="1"/>
  <c r="D2" i="2"/>
  <c r="D10" i="1"/>
  <c r="C25" i="1"/>
  <c r="C18" i="3"/>
  <c r="D20" i="3"/>
  <c r="C2" i="2"/>
  <c r="D14" i="3"/>
  <c r="C9" i="2"/>
  <c r="C43" i="1"/>
  <c r="D9" i="1"/>
  <c r="D35" i="1"/>
  <c r="C14" i="3"/>
  <c r="D43" i="1"/>
  <c r="C45" i="1"/>
  <c r="C26" i="1"/>
  <c r="C7" i="2"/>
  <c r="D11" i="2"/>
  <c r="D18" i="2"/>
  <c r="D10" i="4"/>
  <c r="C2" i="4"/>
  <c r="D8" i="4"/>
  <c r="C34" i="1"/>
  <c r="D12" i="1"/>
  <c r="C16" i="3"/>
  <c r="C19" i="3"/>
  <c r="C13" i="3"/>
  <c r="D3" i="1"/>
  <c r="C8" i="2"/>
  <c r="D16" i="2"/>
  <c r="C24" i="1"/>
  <c r="C6" i="3"/>
  <c r="C15" i="2"/>
  <c r="C4" i="4"/>
  <c r="C9" i="4"/>
  <c r="C39" i="1"/>
  <c r="C11" i="4"/>
  <c r="C28" i="1"/>
  <c r="C5" i="1"/>
  <c r="D9" i="3"/>
  <c r="D12" i="4"/>
  <c r="D6" i="1"/>
  <c r="C5" i="4"/>
  <c r="D29" i="1"/>
  <c r="C12" i="4"/>
  <c r="D15" i="1"/>
  <c r="C17" i="1"/>
  <c r="C25" i="2"/>
  <c r="C10" i="2"/>
  <c r="D12" i="3"/>
  <c r="C4" i="1"/>
  <c r="C16" i="2"/>
  <c r="D13" i="1"/>
  <c r="D17" i="1"/>
  <c r="D22" i="2"/>
  <c r="C13" i="1"/>
  <c r="D5" i="4"/>
  <c r="D34" i="1"/>
  <c r="D2" i="1"/>
  <c r="C17" i="2"/>
  <c r="D16" i="1"/>
  <c r="C11" i="3"/>
  <c r="C18" i="2"/>
  <c r="C19" i="1"/>
  <c r="C4" i="3"/>
  <c r="C5" i="3"/>
  <c r="D5" i="3"/>
  <c r="D31" i="1"/>
  <c r="D24" i="1"/>
  <c r="C27" i="1"/>
  <c r="D2" i="3"/>
  <c r="C6" i="4"/>
  <c r="D45" i="1"/>
  <c r="C14" i="1"/>
  <c r="D19" i="1"/>
  <c r="C20" i="1"/>
  <c r="C46" i="1"/>
  <c r="C8" i="4"/>
  <c r="C15" i="1"/>
  <c r="D30" i="1"/>
  <c r="C9" i="1"/>
  <c r="C18" i="1"/>
  <c r="D33" i="1"/>
  <c r="D5" i="2"/>
  <c r="C32" i="1"/>
  <c r="D6" i="3"/>
  <c r="C42" i="1"/>
  <c r="C29" i="1"/>
  <c r="D38" i="1"/>
  <c r="C24" i="2"/>
  <c r="C48" i="1"/>
  <c r="D3" i="2"/>
  <c r="C6" i="1"/>
  <c r="D14" i="1"/>
  <c r="C9" i="3"/>
  <c r="D11" i="3"/>
  <c r="D24" i="2"/>
  <c r="C47" i="1"/>
  <c r="C5" i="2"/>
  <c r="C19" i="2"/>
  <c r="C37" i="1"/>
  <c r="D13" i="2"/>
  <c r="C36" i="1"/>
  <c r="C10" i="3"/>
  <c r="D47" i="1"/>
  <c r="C22" i="2"/>
  <c r="D4" i="3"/>
  <c r="D26" i="2"/>
  <c r="C16" i="1"/>
  <c r="C7" i="3"/>
  <c r="D11" i="1"/>
  <c r="C40" i="1"/>
  <c r="D19" i="2"/>
  <c r="C13" i="4"/>
  <c r="D46" i="1"/>
  <c r="D26" i="1"/>
  <c r="C14" i="2"/>
  <c r="D44" i="1"/>
  <c r="D15" i="3"/>
  <c r="D14" i="2"/>
  <c r="D20" i="2"/>
  <c r="D21" i="2"/>
  <c r="D48" i="1"/>
  <c r="C12" i="3"/>
  <c r="D8" i="1"/>
  <c r="D8" i="2"/>
  <c r="D17" i="3"/>
  <c r="D32" i="1"/>
  <c r="C12" i="1"/>
  <c r="D21" i="1"/>
  <c r="D4" i="2"/>
  <c r="C23" i="1"/>
  <c r="D7" i="1"/>
  <c r="D39" i="1"/>
  <c r="D12" i="2"/>
  <c r="D22" i="1"/>
  <c r="C38" i="1"/>
  <c r="D42" i="1"/>
  <c r="C33" i="1"/>
  <c r="C7" i="1"/>
  <c r="C11" i="1"/>
  <c r="C30" i="1"/>
  <c r="C7" i="4"/>
  <c r="C6" i="2"/>
  <c r="D27" i="1"/>
  <c r="D36" i="1"/>
  <c r="C44" i="1"/>
  <c r="C15" i="3"/>
  <c r="D9" i="4"/>
  <c r="C22" i="1"/>
  <c r="D41" i="1"/>
  <c r="D7" i="2"/>
</calcChain>
</file>

<file path=xl/sharedStrings.xml><?xml version="1.0" encoding="utf-8"?>
<sst xmlns="http://schemas.openxmlformats.org/spreadsheetml/2006/main" count="781" uniqueCount="135">
  <si>
    <t>StudentId</t>
  </si>
  <si>
    <t>Student Name</t>
  </si>
  <si>
    <t>Father Name</t>
  </si>
  <si>
    <t>Email</t>
  </si>
  <si>
    <t>PhoneNumber</t>
  </si>
  <si>
    <t>Gender</t>
  </si>
  <si>
    <t>Course</t>
  </si>
  <si>
    <t>Campus</t>
  </si>
  <si>
    <t>Days</t>
  </si>
  <si>
    <t>Timing</t>
  </si>
  <si>
    <t>Batch</t>
  </si>
  <si>
    <t>khanjhanzaib939@gmail.com</t>
  </si>
  <si>
    <t>03452639702</t>
  </si>
  <si>
    <t>Female</t>
  </si>
  <si>
    <t>Computer Information Technology (CIT)</t>
  </si>
  <si>
    <t>Piston College (Hub River Road)</t>
  </si>
  <si>
    <t>Tuesday &amp; Thursday</t>
  </si>
  <si>
    <t>2:00PM-4:00PM</t>
  </si>
  <si>
    <t>CIT(F)-8568</t>
  </si>
  <si>
    <t>mohammadtariq952@gmail.com</t>
  </si>
  <si>
    <t>03002808044</t>
  </si>
  <si>
    <t>03131086373</t>
  </si>
  <si>
    <t>03152201813</t>
  </si>
  <si>
    <t>03401223349</t>
  </si>
  <si>
    <t>03482785354</t>
  </si>
  <si>
    <t>03346681602</t>
  </si>
  <si>
    <t>03121707759</t>
  </si>
  <si>
    <t>03020127441</t>
  </si>
  <si>
    <t>03259251458</t>
  </si>
  <si>
    <t>03130386176</t>
  </si>
  <si>
    <t>03292248685</t>
  </si>
  <si>
    <t>03700162050</t>
  </si>
  <si>
    <t>03232402466</t>
  </si>
  <si>
    <t>03030558759</t>
  </si>
  <si>
    <t>03132683148</t>
  </si>
  <si>
    <t>03480282860</t>
  </si>
  <si>
    <t>03162433543</t>
  </si>
  <si>
    <t>03332204233</t>
  </si>
  <si>
    <t>03122010086</t>
  </si>
  <si>
    <t>03410272760</t>
  </si>
  <si>
    <t>03152399410</t>
  </si>
  <si>
    <t>03184462847</t>
  </si>
  <si>
    <t>03323238457</t>
  </si>
  <si>
    <t>sam755300@gmail.com</t>
  </si>
  <si>
    <t>03132320324</t>
  </si>
  <si>
    <t>03021279819</t>
  </si>
  <si>
    <t>03131380774</t>
  </si>
  <si>
    <t>03172981480</t>
  </si>
  <si>
    <t>03184602061</t>
  </si>
  <si>
    <t>zariii6830@gmail.com</t>
  </si>
  <si>
    <t>03132745128</t>
  </si>
  <si>
    <t>hajrakhalid010@gmail.com</t>
  </si>
  <si>
    <t>03151358629</t>
  </si>
  <si>
    <t>03152643906</t>
  </si>
  <si>
    <t>03151078877</t>
  </si>
  <si>
    <t>03273633291</t>
  </si>
  <si>
    <t>03233357910</t>
  </si>
  <si>
    <t>03132643547</t>
  </si>
  <si>
    <t>03173475809</t>
  </si>
  <si>
    <t>03192989704</t>
  </si>
  <si>
    <t>03163920264</t>
  </si>
  <si>
    <t>03111516810</t>
  </si>
  <si>
    <t>03002382355</t>
  </si>
  <si>
    <t>03172295918</t>
  </si>
  <si>
    <t>03190948942</t>
  </si>
  <si>
    <t>03226208525</t>
  </si>
  <si>
    <t>03352886768</t>
  </si>
  <si>
    <t>03121056720</t>
  </si>
  <si>
    <t>03362068551</t>
  </si>
  <si>
    <t>Male</t>
  </si>
  <si>
    <t>4:00PM-6:00PM</t>
  </si>
  <si>
    <t>CIT(M)-8517</t>
  </si>
  <si>
    <t>03174724755</t>
  </si>
  <si>
    <t>03132614575</t>
  </si>
  <si>
    <t>03298377456</t>
  </si>
  <si>
    <t>03332196297</t>
  </si>
  <si>
    <t>03168573613</t>
  </si>
  <si>
    <t>03252475400</t>
  </si>
  <si>
    <t>03132863233</t>
  </si>
  <si>
    <t>03194822029</t>
  </si>
  <si>
    <t>03313883287</t>
  </si>
  <si>
    <t>03121068169</t>
  </si>
  <si>
    <t>03122422438</t>
  </si>
  <si>
    <t>03243185509</t>
  </si>
  <si>
    <t>03422422212</t>
  </si>
  <si>
    <t>03443383348</t>
  </si>
  <si>
    <t>03352068028</t>
  </si>
  <si>
    <t>03162450892</t>
  </si>
  <si>
    <t>03323459279</t>
  </si>
  <si>
    <t>03192989574</t>
  </si>
  <si>
    <t>03313202315</t>
  </si>
  <si>
    <t>03477003865</t>
  </si>
  <si>
    <t>03167056722</t>
  </si>
  <si>
    <t>03482837459</t>
  </si>
  <si>
    <t>03078396893</t>
  </si>
  <si>
    <t>03463220432</t>
  </si>
  <si>
    <t>03278466435</t>
  </si>
  <si>
    <t>03193052006</t>
  </si>
  <si>
    <t>Metroville Campus</t>
  </si>
  <si>
    <t>Monday &amp; Wednesday</t>
  </si>
  <si>
    <t>11:00AM-1:00PM</t>
  </si>
  <si>
    <t>CIT(F)-8567</t>
  </si>
  <si>
    <t>03118274853</t>
  </si>
  <si>
    <t>03272958151</t>
  </si>
  <si>
    <t>03426340082</t>
  </si>
  <si>
    <t>03150004613</t>
  </si>
  <si>
    <t>03472494600</t>
  </si>
  <si>
    <t>03702517054</t>
  </si>
  <si>
    <t>03352729426</t>
  </si>
  <si>
    <t>03442332380</t>
  </si>
  <si>
    <t>03002742376</t>
  </si>
  <si>
    <t>03172624035</t>
  </si>
  <si>
    <t>03490027982</t>
  </si>
  <si>
    <t>03302466029</t>
  </si>
  <si>
    <t>03162046090</t>
  </si>
  <si>
    <t>03002122712</t>
  </si>
  <si>
    <t>03462271810</t>
  </si>
  <si>
    <t>03292315911</t>
  </si>
  <si>
    <t>03332438593</t>
  </si>
  <si>
    <t>03021247361</t>
  </si>
  <si>
    <t>03212085524</t>
  </si>
  <si>
    <t>CIT(M)-8516</t>
  </si>
  <si>
    <t>03152554163</t>
  </si>
  <si>
    <t>03162708637</t>
  </si>
  <si>
    <t>03212299604</t>
  </si>
  <si>
    <t>03452072772</t>
  </si>
  <si>
    <t>03042106195</t>
  </si>
  <si>
    <t>03412045929</t>
  </si>
  <si>
    <t>03420133118</t>
  </si>
  <si>
    <t>03163929942</t>
  </si>
  <si>
    <t>03402030628</t>
  </si>
  <si>
    <t>03123469954</t>
  </si>
  <si>
    <t>03193965245</t>
  </si>
  <si>
    <t>03475895463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</si>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</sst>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68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990CAD-0CA0-4685-A793-31CDFE13A82D}" name="Table1" displayName="Table1" ref="A1:L48" totalsRowShown="0" headerRowDxfId="14" dataDxfId="54" headerRowBorderDxfId="66" tableBorderDxfId="67" totalsRowBorderDxfId="65">
  <autoFilter ref="A1:L48" xr:uid="{97990CAD-0CA0-4685-A793-31CDFE13A82D}"/>
  <tableColumns count="12">
    <tableColumn id="1" xr3:uid="{FBD31E78-8A48-41A9-9861-22AAE3962D3B}" name="S. No." dataDxfId="64"/>
    <tableColumn id="2" xr3:uid="{BBDBC5E0-A2C9-4EB9-8D3C-FA330B725750}" name="StudentId" dataDxfId="63"/>
    <tableColumn id="3" xr3:uid="{00422E41-7EAC-4D9A-931F-142BE9438DE7}" name="Student Name" dataDxfId="10">
      <calculatedColumnFormula>PROPER(Table1[[#This Row],[Student Name]])</calculatedColumnFormula>
    </tableColumn>
    <tableColumn id="4" xr3:uid="{3A829D72-B11F-4264-93C8-A8649553D967}" name="Father Name" dataDxfId="9">
      <calculatedColumnFormula>PROPER(Table1[[#This Row],[Father Name]])</calculatedColumnFormula>
    </tableColumn>
    <tableColumn id="5" xr3:uid="{FAE5D44F-69A7-4378-B187-61FA1547DA7B}" name="Email" dataDxfId="62"/>
    <tableColumn id="6" xr3:uid="{AA3FC289-1585-410F-BA72-9B0CFB4071D5}" name="PhoneNumber" dataDxfId="61"/>
    <tableColumn id="7" xr3:uid="{7E5AAAE1-DEC1-4733-93C8-5144A1EE0501}" name="Gender" dataDxfId="60"/>
    <tableColumn id="8" xr3:uid="{5F4AB591-DD41-44E0-B6C8-62880BC18163}" name="Course" dataDxfId="59"/>
    <tableColumn id="9" xr3:uid="{EAA686E6-F00E-45B7-8C59-C809851DF0B4}" name="Campus" dataDxfId="58"/>
    <tableColumn id="10" xr3:uid="{E61F19BC-3459-4A1D-8BE4-2882D8C2BB5C}" name="Days" dataDxfId="57"/>
    <tableColumn id="11" xr3:uid="{783E7484-FF47-46FC-B2ED-8DFF2CC44B8D}" name="Timing" dataDxfId="56"/>
    <tableColumn id="12" xr3:uid="{8AD66EFD-BD68-4944-8525-B88F82639A9A}" name="Batch" dataDxfId="55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7DD389-E0DF-42AC-84B9-D52093BC17E9}" name="Table2" displayName="Table2" ref="A1:L26" totalsRowShown="0" headerRowDxfId="13" dataDxfId="41" headerRowBorderDxfId="52" tableBorderDxfId="53" totalsRowBorderDxfId="51">
  <autoFilter ref="A1:L26" xr:uid="{BD7DD389-E0DF-42AC-84B9-D52093BC17E9}"/>
  <tableColumns count="12">
    <tableColumn id="1" xr3:uid="{ECD9BB60-2298-4558-B198-B283ABAA2DD5}" name="S. No." dataDxfId="50"/>
    <tableColumn id="2" xr3:uid="{39F5ABD2-1D1F-4E68-94AC-9B8530DF6EC0}" name="StudentId" dataDxfId="49"/>
    <tableColumn id="3" xr3:uid="{30641846-D8A0-413C-8D65-3CD598B0872B}" name="Student Name" dataDxfId="8">
      <calculatedColumnFormula>PROPER(Table2[[#This Row],[Student Name]])</calculatedColumnFormula>
    </tableColumn>
    <tableColumn id="4" xr3:uid="{0AAC9E2A-6B71-4889-835D-F254DDB2DABD}" name="Father Name" dataDxfId="6">
      <calculatedColumnFormula>PROPER(Table2[[#This Row],[Father Name]])</calculatedColumnFormula>
    </tableColumn>
    <tableColumn id="5" xr3:uid="{AFD519BD-CE48-44BF-9DE8-1A383F8C7278}" name="Email" dataDxfId="7"/>
    <tableColumn id="6" xr3:uid="{C5B9C5D1-F1A8-4215-A155-CBD1E5F0D868}" name="PhoneNumber" dataDxfId="48"/>
    <tableColumn id="7" xr3:uid="{A449F8E0-C501-42C6-928B-762BDD8723D4}" name="Gender" dataDxfId="47"/>
    <tableColumn id="8" xr3:uid="{EE46400A-B872-4BBE-8964-7785E637C4E2}" name="Course" dataDxfId="46"/>
    <tableColumn id="9" xr3:uid="{9271F7F3-D1A9-4D1F-A639-B9D9215A9369}" name="Campus" dataDxfId="45"/>
    <tableColumn id="10" xr3:uid="{3C431493-CBE3-40D6-AF53-2B2251906BCD}" name="Days" dataDxfId="44"/>
    <tableColumn id="11" xr3:uid="{70395801-554B-4062-9A79-0213B8F952EA}" name="Timing" dataDxfId="43"/>
    <tableColumn id="12" xr3:uid="{62D87178-40FE-4BA1-9F17-E3B33EC9FE64}" name="Batch" dataDxfId="42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52EF8D-4CDB-4AF0-B694-7AAABD3A2E31}" name="Table3" displayName="Table3" ref="A1:L20" totalsRowShown="0" headerRowDxfId="12" dataDxfId="28" headerRowBorderDxfId="39" tableBorderDxfId="40" totalsRowBorderDxfId="38">
  <autoFilter ref="A1:L20" xr:uid="{E452EF8D-4CDB-4AF0-B694-7AAABD3A2E31}"/>
  <tableColumns count="12">
    <tableColumn id="1" xr3:uid="{A46A6DFA-049D-4F01-9774-F177BB4495D6}" name="S. No." dataDxfId="37"/>
    <tableColumn id="2" xr3:uid="{6AEE160E-DCB6-4305-90CB-5BD31AF588DB}" name="StudentId" dataDxfId="36"/>
    <tableColumn id="3" xr3:uid="{899BD2C8-71E3-4B01-8294-F9F19036E76A}" name="Student Name" dataDxfId="5">
      <calculatedColumnFormula>PROPER(Table3[[#This Row],[Student Name]])</calculatedColumnFormula>
    </tableColumn>
    <tableColumn id="4" xr3:uid="{D8AFCB11-C8DD-45DD-8194-53017068813E}" name="Father Name" dataDxfId="3">
      <calculatedColumnFormula>PROPER(Table3[[#This Row],[Father Name]])</calculatedColumnFormula>
    </tableColumn>
    <tableColumn id="5" xr3:uid="{18CA9A91-E2E3-4093-8354-A39B25C59F22}" name="Email" dataDxfId="4"/>
    <tableColumn id="6" xr3:uid="{3B97D4D0-0868-4D35-B003-45C5EF07B5ED}" name="PhoneNumber" dataDxfId="35"/>
    <tableColumn id="7" xr3:uid="{2E638CEB-119C-4227-B2E8-08BF1DB1C646}" name="Gender" dataDxfId="34"/>
    <tableColumn id="8" xr3:uid="{1B5E3E8A-5211-4B95-A6E5-03D5985BE8D2}" name="Course" dataDxfId="33"/>
    <tableColumn id="9" xr3:uid="{C78E46E4-7882-41CB-96F5-493A1DAD35F9}" name="Campus" dataDxfId="32"/>
    <tableColumn id="10" xr3:uid="{0E05783D-D48B-478A-A59C-D06F647355D7}" name="Days" dataDxfId="31"/>
    <tableColumn id="11" xr3:uid="{7A2DCD24-65FE-42B4-A70A-457DD8A41B9A}" name="Timing" dataDxfId="30"/>
    <tableColumn id="12" xr3:uid="{6C519E3F-8BF0-46A1-B1FA-7BA645157F99}" name="Batch" dataDxfId="2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EB6C6EA-1C89-4154-A346-6A8DF967664C}" name="Table4" displayName="Table4" ref="A1:L14" totalsRowShown="0" headerRowDxfId="11" dataDxfId="15" headerRowBorderDxfId="26" tableBorderDxfId="27" totalsRowBorderDxfId="25">
  <autoFilter ref="A1:L14" xr:uid="{DEB6C6EA-1C89-4154-A346-6A8DF967664C}"/>
  <tableColumns count="12">
    <tableColumn id="1" xr3:uid="{7D90FA04-F312-4FD9-8081-0D59F7B2065A}" name="S. No." dataDxfId="24"/>
    <tableColumn id="2" xr3:uid="{21EC4E19-6EEE-4D54-BCA3-32B3D31C93D6}" name="StudentId" dataDxfId="23"/>
    <tableColumn id="3" xr3:uid="{2DC3C0F3-DC0E-4E41-A6AA-A0323AA9F20C}" name="Student Name" dataDxfId="2">
      <calculatedColumnFormula>PROPER(Table4[[#This Row],[Student Name]])</calculatedColumnFormula>
    </tableColumn>
    <tableColumn id="4" xr3:uid="{4F9E953E-AB1C-49E2-9D5B-459535E72933}" name="Father Name" dataDxfId="0">
      <calculatedColumnFormula>PROPER(Table4[[#This Row],[Father Name]])</calculatedColumnFormula>
    </tableColumn>
    <tableColumn id="5" xr3:uid="{5F4DE969-0022-4953-864F-3CF6E5D045A9}" name="Email" dataDxfId="1"/>
    <tableColumn id="6" xr3:uid="{4C0558FD-63CB-46CC-BA73-86EF12C30A59}" name="PhoneNumber" dataDxfId="22"/>
    <tableColumn id="7" xr3:uid="{266606B3-2FE2-4D25-B9A6-6235B4BF70D8}" name="Gender" dataDxfId="21"/>
    <tableColumn id="8" xr3:uid="{F5EAF30D-6D75-406F-BFD4-118D2D940529}" name="Course" dataDxfId="20"/>
    <tableColumn id="9" xr3:uid="{4BF7198E-E509-4B97-ACA8-5FC70A685B16}" name="Campus" dataDxfId="19"/>
    <tableColumn id="10" xr3:uid="{CEA9C731-9A93-4B10-ACAC-080786A3AB3A}" name="Days" dataDxfId="18"/>
    <tableColumn id="11" xr3:uid="{0715BA9C-504D-46CD-9E96-3ED849956F4D}" name="Timing" dataDxfId="17"/>
    <tableColumn id="12" xr3:uid="{36405822-9C8E-4703-AE8F-39744CAE02FB}" name="Batch" dataDxfId="16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67A6-BA32-4D62-B0D0-5F6A35A94E45}">
  <dimension ref="A1:L48"/>
  <sheetViews>
    <sheetView tabSelected="1" topLeftCell="A24" zoomScale="90" zoomScaleNormal="90" workbookViewId="0">
      <selection activeCell="C32" sqref="C32"/>
    </sheetView>
  </sheetViews>
  <sheetFormatPr defaultRowHeight="14.25" x14ac:dyDescent="0.2"/>
  <cols>
    <col min="1" max="1" width="8" customWidth="1"/>
    <col min="2" max="2" width="11.375" customWidth="1"/>
    <col min="3" max="3" width="31" bestFit="1" customWidth="1"/>
    <col min="4" max="4" width="25.75" bestFit="1" customWidth="1"/>
    <col min="5" max="5" width="28.125" hidden="1" customWidth="1"/>
    <col min="6" max="6" width="15.5" hidden="1" customWidth="1"/>
    <col min="7" max="7" width="9.5" customWidth="1"/>
    <col min="8" max="8" width="33.75" hidden="1" customWidth="1"/>
    <col min="9" max="9" width="27.75" bestFit="1" customWidth="1"/>
    <col min="10" max="10" width="18" bestFit="1" customWidth="1"/>
    <col min="11" max="11" width="13.875" bestFit="1" customWidth="1"/>
    <col min="12" max="12" width="11" hidden="1" customWidth="1"/>
  </cols>
  <sheetData>
    <row r="1" spans="1:12" ht="15" x14ac:dyDescent="0.2">
      <c r="A1" s="7" t="s">
        <v>134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</row>
    <row r="2" spans="1:12" x14ac:dyDescent="0.2">
      <c r="A2" s="2">
        <v>1</v>
      </c>
      <c r="B2" s="1">
        <v>242071</v>
      </c>
      <c r="C2" s="1" t="str">
        <f ca="1">PROPER(Table1[[#This Row],[Student Name]])</f>
        <v>Binish</v>
      </c>
      <c r="D2" s="1" t="str">
        <f ca="1">PROPER(Table1[[#This Row],[Father Name]])</f>
        <v xml:space="preserve">Jahanzaib Khan 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3" t="s">
        <v>18</v>
      </c>
    </row>
    <row r="3" spans="1:12" x14ac:dyDescent="0.2">
      <c r="A3" s="2">
        <v>2</v>
      </c>
      <c r="B3" s="1">
        <v>241886</v>
      </c>
      <c r="C3" s="1" t="str">
        <f ca="1">PROPER(Table1[[#This Row],[Student Name]])</f>
        <v xml:space="preserve">Hafsa </v>
      </c>
      <c r="D3" s="1" t="str">
        <f ca="1">PROPER(Table1[[#This Row],[Father Name]])</f>
        <v>Muhammadtariq</v>
      </c>
      <c r="E3" s="1" t="s">
        <v>19</v>
      </c>
      <c r="F3" s="1" t="s">
        <v>20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  <c r="L3" s="3" t="s">
        <v>18</v>
      </c>
    </row>
    <row r="4" spans="1:12" x14ac:dyDescent="0.2">
      <c r="A4" s="2">
        <v>3</v>
      </c>
      <c r="B4" s="1">
        <v>399521</v>
      </c>
      <c r="C4" s="1" t="str">
        <f ca="1">PROPER(Table1[[#This Row],[Student Name]])</f>
        <v>Manahil</v>
      </c>
      <c r="D4" s="1" t="str">
        <f ca="1">PROPER(Table1[[#This Row],[Father Name]])</f>
        <v>Ghulam Khan</v>
      </c>
      <c r="E4" s="1"/>
      <c r="F4" s="1" t="s">
        <v>21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3" t="s">
        <v>18</v>
      </c>
    </row>
    <row r="5" spans="1:12" x14ac:dyDescent="0.2">
      <c r="A5" s="2">
        <v>4</v>
      </c>
      <c r="B5" s="1">
        <v>411842</v>
      </c>
      <c r="C5" s="1" t="str">
        <f ca="1">PROPER(Table1[[#This Row],[Student Name]])</f>
        <v xml:space="preserve">Tayyaba Fayyaz </v>
      </c>
      <c r="D5" s="1" t="str">
        <f ca="1">PROPER(Table1[[#This Row],[Father Name]])</f>
        <v xml:space="preserve">Fayyaz Ahmed </v>
      </c>
      <c r="E5" s="1"/>
      <c r="F5" s="1" t="s">
        <v>22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3" t="s">
        <v>18</v>
      </c>
    </row>
    <row r="6" spans="1:12" x14ac:dyDescent="0.2">
      <c r="A6" s="2">
        <v>5</v>
      </c>
      <c r="B6" s="1">
        <v>267714</v>
      </c>
      <c r="C6" s="1" t="str">
        <f ca="1">PROPER(Table1[[#This Row],[Student Name]])</f>
        <v>Hareem Khan</v>
      </c>
      <c r="D6" s="1" t="str">
        <f ca="1">PROPER(Table1[[#This Row],[Father Name]])</f>
        <v>Anwer Zaib</v>
      </c>
      <c r="E6" s="1"/>
      <c r="F6" s="1" t="s">
        <v>23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  <c r="L6" s="3" t="s">
        <v>18</v>
      </c>
    </row>
    <row r="7" spans="1:12" x14ac:dyDescent="0.2">
      <c r="A7" s="2">
        <v>6</v>
      </c>
      <c r="B7" s="1">
        <v>382512</v>
      </c>
      <c r="C7" s="1" t="str">
        <f ca="1">PROPER(Table1[[#This Row],[Student Name]])</f>
        <v xml:space="preserve">Hafiza Amna Muhammad Zubair </v>
      </c>
      <c r="D7" s="1" t="str">
        <f ca="1">PROPER(Table1[[#This Row],[Father Name]])</f>
        <v xml:space="preserve">Muhammad Zubair </v>
      </c>
      <c r="E7" s="1"/>
      <c r="F7" s="1" t="s">
        <v>24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  <c r="L7" s="3" t="s">
        <v>18</v>
      </c>
    </row>
    <row r="8" spans="1:12" x14ac:dyDescent="0.2">
      <c r="A8" s="2">
        <v>7</v>
      </c>
      <c r="B8" s="1">
        <v>372435</v>
      </c>
      <c r="C8" s="1" t="str">
        <f ca="1">PROPER(Table1[[#This Row],[Student Name]])</f>
        <v>Mehlab Shahzad</v>
      </c>
      <c r="D8" s="1" t="str">
        <f ca="1">PROPER(Table1[[#This Row],[Father Name]])</f>
        <v>Shahzad Ghani</v>
      </c>
      <c r="E8" s="1"/>
      <c r="F8" s="1" t="s">
        <v>25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17</v>
      </c>
      <c r="L8" s="3" t="s">
        <v>18</v>
      </c>
    </row>
    <row r="9" spans="1:12" x14ac:dyDescent="0.2">
      <c r="A9" s="2">
        <v>8</v>
      </c>
      <c r="B9" s="1">
        <v>478668</v>
      </c>
      <c r="C9" s="1" t="str">
        <f ca="1">PROPER(Table1[[#This Row],[Student Name]])</f>
        <v>Sana Ashraf</v>
      </c>
      <c r="D9" s="1" t="str">
        <f ca="1">PROPER(Table1[[#This Row],[Father Name]])</f>
        <v/>
      </c>
      <c r="E9" s="1"/>
      <c r="F9" s="1" t="s">
        <v>26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17</v>
      </c>
      <c r="L9" s="3" t="s">
        <v>18</v>
      </c>
    </row>
    <row r="10" spans="1:12" x14ac:dyDescent="0.2">
      <c r="A10" s="2">
        <v>9</v>
      </c>
      <c r="B10" s="1">
        <v>480623</v>
      </c>
      <c r="C10" s="1" t="str">
        <f ca="1">PROPER(Table1[[#This Row],[Student Name]])</f>
        <v xml:space="preserve">Aital </v>
      </c>
      <c r="D10" s="1" t="str">
        <f ca="1">PROPER(Table1[[#This Row],[Father Name]])</f>
        <v xml:space="preserve">Abdul Ghafoor </v>
      </c>
      <c r="E10" s="1"/>
      <c r="F10" s="1" t="s">
        <v>27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17</v>
      </c>
      <c r="L10" s="3" t="s">
        <v>18</v>
      </c>
    </row>
    <row r="11" spans="1:12" x14ac:dyDescent="0.2">
      <c r="A11" s="2">
        <v>10</v>
      </c>
      <c r="B11" s="1">
        <v>477796</v>
      </c>
      <c r="C11" s="1" t="str">
        <f ca="1">PROPER(Table1[[#This Row],[Student Name]])</f>
        <v>Misbah Abdul Rasheed</v>
      </c>
      <c r="D11" s="1" t="str">
        <f ca="1">PROPER(Table1[[#This Row],[Father Name]])</f>
        <v xml:space="preserve">Abdul Rasheed </v>
      </c>
      <c r="E11" s="1"/>
      <c r="F11" s="1" t="s">
        <v>28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17</v>
      </c>
      <c r="L11" s="3" t="s">
        <v>18</v>
      </c>
    </row>
    <row r="12" spans="1:12" x14ac:dyDescent="0.2">
      <c r="A12" s="2">
        <v>11</v>
      </c>
      <c r="B12" s="1">
        <v>480633</v>
      </c>
      <c r="C12" s="1" t="str">
        <f ca="1">PROPER(Table1[[#This Row],[Student Name]])</f>
        <v>Misba Iqbal</v>
      </c>
      <c r="D12" s="1" t="str">
        <f ca="1">PROPER(Table1[[#This Row],[Father Name]])</f>
        <v xml:space="preserve">Muhammad Iqbal </v>
      </c>
      <c r="E12" s="1"/>
      <c r="F12" s="1" t="s">
        <v>29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17</v>
      </c>
      <c r="L12" s="3" t="s">
        <v>18</v>
      </c>
    </row>
    <row r="13" spans="1:12" x14ac:dyDescent="0.2">
      <c r="A13" s="2">
        <v>12</v>
      </c>
      <c r="B13" s="1">
        <v>486709</v>
      </c>
      <c r="C13" s="1" t="str">
        <f ca="1">PROPER(Table1[[#This Row],[Student Name]])</f>
        <v xml:space="preserve">Laraibawan </v>
      </c>
      <c r="D13" s="1" t="str">
        <f ca="1">PROPER(Table1[[#This Row],[Father Name]])</f>
        <v xml:space="preserve">M Farooq Awan </v>
      </c>
      <c r="E13" s="1"/>
      <c r="F13" s="1" t="s">
        <v>30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17</v>
      </c>
      <c r="L13" s="3" t="s">
        <v>18</v>
      </c>
    </row>
    <row r="14" spans="1:12" x14ac:dyDescent="0.2">
      <c r="A14" s="2">
        <v>13</v>
      </c>
      <c r="B14" s="1">
        <v>371667</v>
      </c>
      <c r="C14" s="1" t="str">
        <f ca="1">PROPER(Table1[[#This Row],[Student Name]])</f>
        <v>Malaika</v>
      </c>
      <c r="D14" s="1" t="str">
        <f ca="1">PROPER(Table1[[#This Row],[Father Name]])</f>
        <v>Tanveer</v>
      </c>
      <c r="E14" s="1"/>
      <c r="F14" s="1" t="s">
        <v>31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17</v>
      </c>
      <c r="L14" s="3" t="s">
        <v>18</v>
      </c>
    </row>
    <row r="15" spans="1:12" x14ac:dyDescent="0.2">
      <c r="A15" s="2">
        <v>14</v>
      </c>
      <c r="B15" s="1">
        <v>486767</v>
      </c>
      <c r="C15" s="1" t="str">
        <f ca="1">PROPER(Table1[[#This Row],[Student Name]])</f>
        <v xml:space="preserve">Naqia Mushtaq </v>
      </c>
      <c r="D15" s="1" t="str">
        <f ca="1">PROPER(Table1[[#This Row],[Father Name]])</f>
        <v xml:space="preserve">Mushtaq Ali </v>
      </c>
      <c r="E15" s="1"/>
      <c r="F15" s="1" t="s">
        <v>32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17</v>
      </c>
      <c r="L15" s="3" t="s">
        <v>18</v>
      </c>
    </row>
    <row r="16" spans="1:12" x14ac:dyDescent="0.2">
      <c r="A16" s="2">
        <v>15</v>
      </c>
      <c r="B16" s="1">
        <v>480193</v>
      </c>
      <c r="C16" s="1" t="str">
        <f ca="1">PROPER(Table1[[#This Row],[Student Name]])</f>
        <v>Wareesha Younas</v>
      </c>
      <c r="D16" s="1" t="str">
        <f ca="1">PROPER(Table1[[#This Row],[Father Name]])</f>
        <v>M.Younas</v>
      </c>
      <c r="E16" s="1"/>
      <c r="F16" s="1" t="s">
        <v>33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17</v>
      </c>
      <c r="L16" s="3" t="s">
        <v>18</v>
      </c>
    </row>
    <row r="17" spans="1:12" x14ac:dyDescent="0.2">
      <c r="A17" s="2">
        <v>16</v>
      </c>
      <c r="B17" s="1">
        <v>480809</v>
      </c>
      <c r="C17" s="1" t="str">
        <f ca="1">PROPER(Table1[[#This Row],[Student Name]])</f>
        <v xml:space="preserve">Zunaira Fatima </v>
      </c>
      <c r="D17" s="1" t="str">
        <f ca="1">PROPER(Table1[[#This Row],[Father Name]])</f>
        <v xml:space="preserve">Muhammad Nadim </v>
      </c>
      <c r="E17" s="1"/>
      <c r="F17" s="1" t="s">
        <v>34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17</v>
      </c>
      <c r="L17" s="3" t="s">
        <v>18</v>
      </c>
    </row>
    <row r="18" spans="1:12" x14ac:dyDescent="0.2">
      <c r="A18" s="2">
        <v>17</v>
      </c>
      <c r="B18" s="1">
        <v>477642</v>
      </c>
      <c r="C18" s="1" t="str">
        <f ca="1">PROPER(Table1[[#This Row],[Student Name]])</f>
        <v xml:space="preserve">Omama Rehman </v>
      </c>
      <c r="D18" s="1" t="str">
        <f ca="1">PROPER(Table1[[#This Row],[Father Name]])</f>
        <v xml:space="preserve">Inayat Ur Rehman </v>
      </c>
      <c r="E18" s="1"/>
      <c r="F18" s="1" t="s">
        <v>35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17</v>
      </c>
      <c r="L18" s="3" t="s">
        <v>18</v>
      </c>
    </row>
    <row r="19" spans="1:12" x14ac:dyDescent="0.2">
      <c r="A19" s="2">
        <v>18</v>
      </c>
      <c r="B19" s="1">
        <v>482943</v>
      </c>
      <c r="C19" s="1" t="str">
        <f ca="1">PROPER(Table1[[#This Row],[Student Name]])</f>
        <v>Rumaisa</v>
      </c>
      <c r="D19" s="1" t="str">
        <f ca="1">PROPER(Table1[[#This Row],[Father Name]])</f>
        <v>Muhammad Hassan</v>
      </c>
      <c r="E19" s="1"/>
      <c r="F19" s="1" t="s">
        <v>36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17</v>
      </c>
      <c r="L19" s="3" t="s">
        <v>18</v>
      </c>
    </row>
    <row r="20" spans="1:12" x14ac:dyDescent="0.2">
      <c r="A20" s="2">
        <v>19</v>
      </c>
      <c r="B20" s="1">
        <v>478777</v>
      </c>
      <c r="C20" s="1" t="str">
        <f ca="1">PROPER(Table1[[#This Row],[Student Name]])</f>
        <v xml:space="preserve">Aman Bibi </v>
      </c>
      <c r="D20" s="1" t="str">
        <f ca="1">PROPER(Table1[[#This Row],[Father Name]])</f>
        <v xml:space="preserve">Muhammad Ashraf Awan </v>
      </c>
      <c r="E20" s="1"/>
      <c r="F20" s="1" t="s">
        <v>37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17</v>
      </c>
      <c r="L20" s="3" t="s">
        <v>18</v>
      </c>
    </row>
    <row r="21" spans="1:12" x14ac:dyDescent="0.2">
      <c r="A21" s="2">
        <v>20</v>
      </c>
      <c r="B21" s="1">
        <v>483237</v>
      </c>
      <c r="C21" s="1" t="str">
        <f ca="1">PROPER(Table1[[#This Row],[Student Name]])</f>
        <v xml:space="preserve">Adeeba Maryam </v>
      </c>
      <c r="D21" s="1" t="str">
        <f ca="1">PROPER(Table1[[#This Row],[Father Name]])</f>
        <v/>
      </c>
      <c r="E21" s="1"/>
      <c r="F21" s="1" t="s">
        <v>38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17</v>
      </c>
      <c r="L21" s="3" t="s">
        <v>18</v>
      </c>
    </row>
    <row r="22" spans="1:12" x14ac:dyDescent="0.2">
      <c r="A22" s="2">
        <v>21</v>
      </c>
      <c r="B22" s="1">
        <v>487509</v>
      </c>
      <c r="C22" s="1" t="str">
        <f ca="1">PROPER(Table1[[#This Row],[Student Name]])</f>
        <v xml:space="preserve"> Qirat Bano </v>
      </c>
      <c r="D22" s="1" t="str">
        <f ca="1">PROPER(Table1[[#This Row],[Father Name]])</f>
        <v>Qirat Bano</v>
      </c>
      <c r="E22" s="1"/>
      <c r="F22" s="1" t="s">
        <v>39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17</v>
      </c>
      <c r="L22" s="3" t="s">
        <v>18</v>
      </c>
    </row>
    <row r="23" spans="1:12" x14ac:dyDescent="0.2">
      <c r="A23" s="2">
        <v>22</v>
      </c>
      <c r="B23" s="1">
        <v>476961</v>
      </c>
      <c r="C23" s="1" t="str">
        <f ca="1">PROPER(Table1[[#This Row],[Student Name]])</f>
        <v>Dua</v>
      </c>
      <c r="D23" s="1" t="str">
        <f ca="1">PROPER(Table1[[#This Row],[Father Name]])</f>
        <v>Ahmed Ud Din</v>
      </c>
      <c r="E23" s="1"/>
      <c r="F23" s="1" t="s">
        <v>40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17</v>
      </c>
      <c r="L23" s="3" t="s">
        <v>18</v>
      </c>
    </row>
    <row r="24" spans="1:12" x14ac:dyDescent="0.2">
      <c r="A24" s="2">
        <v>23</v>
      </c>
      <c r="B24" s="1">
        <v>485418</v>
      </c>
      <c r="C24" s="1" t="str">
        <f ca="1">PROPER(Table1[[#This Row],[Student Name]])</f>
        <v xml:space="preserve">Muskan </v>
      </c>
      <c r="D24" s="1" t="str">
        <f ca="1">PROPER(Table1[[#This Row],[Father Name]])</f>
        <v xml:space="preserve">Abdul Rehman </v>
      </c>
      <c r="E24" s="1"/>
      <c r="F24" s="1" t="s">
        <v>41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17</v>
      </c>
      <c r="L24" s="3" t="s">
        <v>18</v>
      </c>
    </row>
    <row r="25" spans="1:12" x14ac:dyDescent="0.2">
      <c r="A25" s="2">
        <v>24</v>
      </c>
      <c r="B25" s="1">
        <v>485837</v>
      </c>
      <c r="C25" s="1" t="str">
        <f ca="1">PROPER(Table1[[#This Row],[Student Name]])</f>
        <v>Aqsa</v>
      </c>
      <c r="D25" s="1" t="str">
        <f ca="1">PROPER(Table1[[#This Row],[Father Name]])</f>
        <v xml:space="preserve">Abdul Rehman </v>
      </c>
      <c r="E25" s="1"/>
      <c r="F25" s="1" t="s">
        <v>42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17</v>
      </c>
      <c r="L25" s="3" t="s">
        <v>18</v>
      </c>
    </row>
    <row r="26" spans="1:12" x14ac:dyDescent="0.2">
      <c r="A26" s="2">
        <v>25</v>
      </c>
      <c r="B26" s="1">
        <v>474166</v>
      </c>
      <c r="C26" s="1" t="str">
        <f ca="1">PROPER(Table1[[#This Row],[Student Name]])</f>
        <v>Saima</v>
      </c>
      <c r="D26" s="1" t="str">
        <f ca="1">PROPER(Table1[[#This Row],[Father Name]])</f>
        <v>Ghamani</v>
      </c>
      <c r="E26" s="1" t="s">
        <v>43</v>
      </c>
      <c r="F26" s="1" t="s">
        <v>44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17</v>
      </c>
      <c r="L26" s="3" t="s">
        <v>18</v>
      </c>
    </row>
    <row r="27" spans="1:12" x14ac:dyDescent="0.2">
      <c r="A27" s="2">
        <v>26</v>
      </c>
      <c r="B27" s="1">
        <v>477222</v>
      </c>
      <c r="C27" s="1" t="str">
        <f ca="1">PROPER(Table1[[#This Row],[Student Name]])</f>
        <v>Kainat Shahzad</v>
      </c>
      <c r="D27" s="1" t="str">
        <f ca="1">PROPER(Table1[[#This Row],[Father Name]])</f>
        <v>Shahzad Magray</v>
      </c>
      <c r="E27" s="1"/>
      <c r="F27" s="1" t="s">
        <v>45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17</v>
      </c>
      <c r="L27" s="3" t="s">
        <v>18</v>
      </c>
    </row>
    <row r="28" spans="1:12" x14ac:dyDescent="0.2">
      <c r="A28" s="2">
        <v>27</v>
      </c>
      <c r="B28" s="1">
        <v>483003</v>
      </c>
      <c r="C28" s="1" t="str">
        <f ca="1">PROPER(Table1[[#This Row],[Student Name]])</f>
        <v>Muntaha Shaikh</v>
      </c>
      <c r="D28" s="1" t="str">
        <f ca="1">PROPER(Table1[[#This Row],[Father Name]])</f>
        <v>Mateen</v>
      </c>
      <c r="E28" s="1"/>
      <c r="F28" s="1" t="s">
        <v>46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17</v>
      </c>
      <c r="L28" s="3" t="s">
        <v>18</v>
      </c>
    </row>
    <row r="29" spans="1:12" x14ac:dyDescent="0.2">
      <c r="A29" s="2">
        <v>28</v>
      </c>
      <c r="B29" s="1">
        <v>484905</v>
      </c>
      <c r="C29" s="1" t="str">
        <f ca="1">PROPER(Table1[[#This Row],[Student Name]])</f>
        <v>Laiba</v>
      </c>
      <c r="D29" s="1" t="str">
        <f ca="1">PROPER(Table1[[#This Row],[Father Name]])</f>
        <v>Raseed Ali</v>
      </c>
      <c r="E29" s="1"/>
      <c r="F29" s="1" t="s">
        <v>47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17</v>
      </c>
      <c r="L29" s="3" t="s">
        <v>18</v>
      </c>
    </row>
    <row r="30" spans="1:12" x14ac:dyDescent="0.2">
      <c r="A30" s="2">
        <v>29</v>
      </c>
      <c r="B30" s="1">
        <v>307791</v>
      </c>
      <c r="C30" s="1" t="str">
        <f ca="1">PROPER(Table1[[#This Row],[Student Name]])</f>
        <v>Tuba Ashfaq</v>
      </c>
      <c r="D30" s="1" t="str">
        <f ca="1">PROPER(Table1[[#This Row],[Father Name]])</f>
        <v xml:space="preserve">Ashfaq Ahmed </v>
      </c>
      <c r="E30" s="1"/>
      <c r="F30" s="1" t="s">
        <v>48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17</v>
      </c>
      <c r="L30" s="3" t="s">
        <v>18</v>
      </c>
    </row>
    <row r="31" spans="1:12" x14ac:dyDescent="0.2">
      <c r="A31" s="2">
        <v>30</v>
      </c>
      <c r="B31" s="1">
        <v>46162</v>
      </c>
      <c r="C31" s="1" t="str">
        <f ca="1">PROPER(Table1[[#This Row],[Student Name]])</f>
        <v xml:space="preserve">Laiba Syeda </v>
      </c>
      <c r="D31" s="1" t="str">
        <f ca="1">PROPER(Table1[[#This Row],[Father Name]])</f>
        <v>Asim Hussain</v>
      </c>
      <c r="E31" s="1" t="s">
        <v>49</v>
      </c>
      <c r="F31" s="1" t="s">
        <v>50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17</v>
      </c>
      <c r="L31" s="3" t="s">
        <v>18</v>
      </c>
    </row>
    <row r="32" spans="1:12" x14ac:dyDescent="0.2">
      <c r="A32" s="2">
        <v>31</v>
      </c>
      <c r="B32" s="1">
        <v>65643</v>
      </c>
      <c r="C32" s="1" t="str">
        <f ca="1">PROPER(Table1[[#This Row],[Student Name]])</f>
        <v>Um E Hajra</v>
      </c>
      <c r="D32" s="1" t="str">
        <f ca="1">PROPER(Table1[[#This Row],[Father Name]])</f>
        <v xml:space="preserve">M Khalid </v>
      </c>
      <c r="E32" s="1" t="s">
        <v>51</v>
      </c>
      <c r="F32" s="1" t="s">
        <v>52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17</v>
      </c>
      <c r="L32" s="3" t="s">
        <v>18</v>
      </c>
    </row>
    <row r="33" spans="1:12" x14ac:dyDescent="0.2">
      <c r="A33" s="2">
        <v>32</v>
      </c>
      <c r="B33" s="1">
        <v>406866</v>
      </c>
      <c r="C33" s="1" t="str">
        <f ca="1">PROPER(Table1[[#This Row],[Student Name]])</f>
        <v>Mahnoor</v>
      </c>
      <c r="D33" s="1" t="str">
        <f ca="1">PROPER(Table1[[#This Row],[Father Name]])</f>
        <v>Syed Asim Hussain</v>
      </c>
      <c r="E33" s="1"/>
      <c r="F33" s="1" t="s">
        <v>53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17</v>
      </c>
      <c r="L33" s="3" t="s">
        <v>18</v>
      </c>
    </row>
    <row r="34" spans="1:12" x14ac:dyDescent="0.2">
      <c r="A34" s="2">
        <v>33</v>
      </c>
      <c r="B34" s="1">
        <v>449518</v>
      </c>
      <c r="C34" s="1" t="str">
        <f ca="1">PROPER(Table1[[#This Row],[Student Name]])</f>
        <v>Aswah</v>
      </c>
      <c r="D34" s="1" t="str">
        <f ca="1">PROPER(Table1[[#This Row],[Father Name]])</f>
        <v xml:space="preserve">Muhammad Asim </v>
      </c>
      <c r="E34" s="1"/>
      <c r="F34" s="1" t="s">
        <v>54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17</v>
      </c>
      <c r="L34" s="3" t="s">
        <v>18</v>
      </c>
    </row>
    <row r="35" spans="1:12" x14ac:dyDescent="0.2">
      <c r="A35" s="2">
        <v>34</v>
      </c>
      <c r="B35" s="1">
        <v>477940</v>
      </c>
      <c r="C35" s="1" t="str">
        <f ca="1">PROPER(Table1[[#This Row],[Student Name]])</f>
        <v>Unzila Ali</v>
      </c>
      <c r="D35" s="1" t="str">
        <f ca="1">PROPER(Table1[[#This Row],[Father Name]])</f>
        <v xml:space="preserve">Muhammad Ali </v>
      </c>
      <c r="E35" s="1"/>
      <c r="F35" s="1" t="s">
        <v>55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17</v>
      </c>
      <c r="L35" s="3" t="s">
        <v>18</v>
      </c>
    </row>
    <row r="36" spans="1:12" x14ac:dyDescent="0.2">
      <c r="A36" s="2">
        <v>35</v>
      </c>
      <c r="B36" s="1">
        <v>479069</v>
      </c>
      <c r="C36" s="1" t="str">
        <f ca="1">PROPER(Table1[[#This Row],[Student Name]])</f>
        <v>Sajal Naseer</v>
      </c>
      <c r="D36" s="1" t="str">
        <f ca="1">PROPER(Table1[[#This Row],[Father Name]])</f>
        <v xml:space="preserve">Naseer Ahmed </v>
      </c>
      <c r="E36" s="1"/>
      <c r="F36" s="1" t="s">
        <v>56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17</v>
      </c>
      <c r="L36" s="3" t="s">
        <v>18</v>
      </c>
    </row>
    <row r="37" spans="1:12" x14ac:dyDescent="0.2">
      <c r="A37" s="2">
        <v>36</v>
      </c>
      <c r="B37" s="1">
        <v>482633</v>
      </c>
      <c r="C37" s="1" t="str">
        <f ca="1">PROPER(Table1[[#This Row],[Student Name]])</f>
        <v xml:space="preserve">Iqra Ghani </v>
      </c>
      <c r="D37" s="1" t="str">
        <f ca="1">PROPER(Table1[[#This Row],[Father Name]])</f>
        <v xml:space="preserve">Abdul Ghani </v>
      </c>
      <c r="E37" s="1"/>
      <c r="F37" s="1" t="s">
        <v>57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17</v>
      </c>
      <c r="L37" s="3" t="s">
        <v>18</v>
      </c>
    </row>
    <row r="38" spans="1:12" x14ac:dyDescent="0.2">
      <c r="A38" s="2">
        <v>37</v>
      </c>
      <c r="B38" s="1">
        <v>487487</v>
      </c>
      <c r="C38" s="1" t="str">
        <f ca="1">PROPER(Table1[[#This Row],[Student Name]])</f>
        <v>Muskan Khan</v>
      </c>
      <c r="D38" s="1" t="str">
        <f ca="1">PROPER(Table1[[#This Row],[Father Name]])</f>
        <v>Asiq Khan</v>
      </c>
      <c r="E38" s="1"/>
      <c r="F38" s="1" t="s">
        <v>58</v>
      </c>
      <c r="G38" s="1" t="s">
        <v>13</v>
      </c>
      <c r="H38" s="1" t="s">
        <v>14</v>
      </c>
      <c r="I38" s="1" t="s">
        <v>15</v>
      </c>
      <c r="J38" s="1" t="s">
        <v>16</v>
      </c>
      <c r="K38" s="1" t="s">
        <v>17</v>
      </c>
      <c r="L38" s="3" t="s">
        <v>18</v>
      </c>
    </row>
    <row r="39" spans="1:12" x14ac:dyDescent="0.2">
      <c r="A39" s="2">
        <v>38</v>
      </c>
      <c r="B39" s="1">
        <v>487489</v>
      </c>
      <c r="C39" s="1" t="str">
        <f ca="1">PROPER(Table1[[#This Row],[Student Name]])</f>
        <v>Areeba Meher</v>
      </c>
      <c r="D39" s="1" t="str">
        <f ca="1">PROPER(Table1[[#This Row],[Father Name]])</f>
        <v>Zafar Iqbal</v>
      </c>
      <c r="E39" s="1"/>
      <c r="F39" s="1" t="s">
        <v>59</v>
      </c>
      <c r="G39" s="1" t="s">
        <v>13</v>
      </c>
      <c r="H39" s="1" t="s">
        <v>14</v>
      </c>
      <c r="I39" s="1" t="s">
        <v>15</v>
      </c>
      <c r="J39" s="1" t="s">
        <v>16</v>
      </c>
      <c r="K39" s="1" t="s">
        <v>17</v>
      </c>
      <c r="L39" s="3" t="s">
        <v>18</v>
      </c>
    </row>
    <row r="40" spans="1:12" x14ac:dyDescent="0.2">
      <c r="A40" s="2">
        <v>39</v>
      </c>
      <c r="B40" s="1">
        <v>486608</v>
      </c>
      <c r="C40" s="1" t="str">
        <f ca="1">PROPER(Table1[[#This Row],[Student Name]])</f>
        <v>Sanam</v>
      </c>
      <c r="D40" s="1" t="str">
        <f ca="1">PROPER(Table1[[#This Row],[Father Name]])</f>
        <v xml:space="preserve">Muhammad Aslam </v>
      </c>
      <c r="E40" s="1"/>
      <c r="F40" s="1" t="s">
        <v>60</v>
      </c>
      <c r="G40" s="1" t="s">
        <v>13</v>
      </c>
      <c r="H40" s="1" t="s">
        <v>14</v>
      </c>
      <c r="I40" s="1" t="s">
        <v>15</v>
      </c>
      <c r="J40" s="1" t="s">
        <v>16</v>
      </c>
      <c r="K40" s="1" t="s">
        <v>17</v>
      </c>
      <c r="L40" s="3" t="s">
        <v>18</v>
      </c>
    </row>
    <row r="41" spans="1:12" x14ac:dyDescent="0.2">
      <c r="A41" s="2">
        <v>40</v>
      </c>
      <c r="B41" s="1">
        <v>377535</v>
      </c>
      <c r="C41" s="1" t="str">
        <f ca="1">PROPER(Table1[[#This Row],[Student Name]])</f>
        <v>Aiman Mursaleem</v>
      </c>
      <c r="D41" s="1" t="str">
        <f ca="1">PROPER(Table1[[#This Row],[Father Name]])</f>
        <v>Mursaleem</v>
      </c>
      <c r="E41" s="1"/>
      <c r="F41" s="1" t="s">
        <v>61</v>
      </c>
      <c r="G41" s="1" t="s">
        <v>13</v>
      </c>
      <c r="H41" s="1" t="s">
        <v>14</v>
      </c>
      <c r="I41" s="1" t="s">
        <v>15</v>
      </c>
      <c r="J41" s="1" t="s">
        <v>16</v>
      </c>
      <c r="K41" s="1" t="s">
        <v>17</v>
      </c>
      <c r="L41" s="3" t="s">
        <v>18</v>
      </c>
    </row>
    <row r="42" spans="1:12" x14ac:dyDescent="0.2">
      <c r="A42" s="2">
        <v>41</v>
      </c>
      <c r="B42" s="1">
        <v>482598</v>
      </c>
      <c r="C42" s="1" t="str">
        <f ca="1">PROPER(Table1[[#This Row],[Student Name]])</f>
        <v>Umaima</v>
      </c>
      <c r="D42" s="1" t="str">
        <f ca="1">PROPER(Table1[[#This Row],[Father Name]])</f>
        <v>Muhammad Hussain</v>
      </c>
      <c r="E42" s="1"/>
      <c r="F42" s="1" t="s">
        <v>62</v>
      </c>
      <c r="G42" s="1" t="s">
        <v>13</v>
      </c>
      <c r="H42" s="1" t="s">
        <v>14</v>
      </c>
      <c r="I42" s="1" t="s">
        <v>15</v>
      </c>
      <c r="J42" s="1" t="s">
        <v>16</v>
      </c>
      <c r="K42" s="1" t="s">
        <v>17</v>
      </c>
      <c r="L42" s="3" t="s">
        <v>18</v>
      </c>
    </row>
    <row r="43" spans="1:12" x14ac:dyDescent="0.2">
      <c r="A43" s="2">
        <v>42</v>
      </c>
      <c r="B43" s="1">
        <v>483064</v>
      </c>
      <c r="C43" s="1" t="str">
        <f ca="1">PROPER(Table1[[#This Row],[Student Name]])</f>
        <v>Hurrain Ibrahim</v>
      </c>
      <c r="D43" s="1" t="str">
        <f ca="1">PROPER(Table1[[#This Row],[Father Name]])</f>
        <v>Ibrahim</v>
      </c>
      <c r="E43" s="1"/>
      <c r="F43" s="1" t="s">
        <v>63</v>
      </c>
      <c r="G43" s="1" t="s">
        <v>13</v>
      </c>
      <c r="H43" s="1" t="s">
        <v>14</v>
      </c>
      <c r="I43" s="1" t="s">
        <v>15</v>
      </c>
      <c r="J43" s="1" t="s">
        <v>16</v>
      </c>
      <c r="K43" s="1" t="s">
        <v>17</v>
      </c>
      <c r="L43" s="3" t="s">
        <v>18</v>
      </c>
    </row>
    <row r="44" spans="1:12" x14ac:dyDescent="0.2">
      <c r="A44" s="2">
        <v>43</v>
      </c>
      <c r="B44" s="1">
        <v>483821</v>
      </c>
      <c r="C44" s="1" t="str">
        <f ca="1">PROPER(Table1[[#This Row],[Student Name]])</f>
        <v>Dua</v>
      </c>
      <c r="D44" s="1" t="str">
        <f ca="1">PROPER(Table1[[#This Row],[Father Name]])</f>
        <v>Rehan</v>
      </c>
      <c r="E44" s="1"/>
      <c r="F44" s="1" t="s">
        <v>64</v>
      </c>
      <c r="G44" s="1" t="s">
        <v>13</v>
      </c>
      <c r="H44" s="1" t="s">
        <v>14</v>
      </c>
      <c r="I44" s="1" t="s">
        <v>15</v>
      </c>
      <c r="J44" s="1" t="s">
        <v>16</v>
      </c>
      <c r="K44" s="1" t="s">
        <v>17</v>
      </c>
      <c r="L44" s="3" t="s">
        <v>18</v>
      </c>
    </row>
    <row r="45" spans="1:12" x14ac:dyDescent="0.2">
      <c r="A45" s="2">
        <v>44</v>
      </c>
      <c r="B45" s="1">
        <v>485004</v>
      </c>
      <c r="C45" s="1" t="str">
        <f ca="1">PROPER(Table1[[#This Row],[Student Name]])</f>
        <v xml:space="preserve">Zeenat </v>
      </c>
      <c r="D45" s="1" t="str">
        <f ca="1">PROPER(Table1[[#This Row],[Father Name]])</f>
        <v/>
      </c>
      <c r="E45" s="1"/>
      <c r="F45" s="1" t="s">
        <v>65</v>
      </c>
      <c r="G45" s="1" t="s">
        <v>13</v>
      </c>
      <c r="H45" s="1" t="s">
        <v>14</v>
      </c>
      <c r="I45" s="1" t="s">
        <v>15</v>
      </c>
      <c r="J45" s="1" t="s">
        <v>16</v>
      </c>
      <c r="K45" s="1" t="s">
        <v>17</v>
      </c>
      <c r="L45" s="3" t="s">
        <v>18</v>
      </c>
    </row>
    <row r="46" spans="1:12" x14ac:dyDescent="0.2">
      <c r="A46" s="2">
        <v>45</v>
      </c>
      <c r="B46" s="1">
        <v>487488</v>
      </c>
      <c r="C46" s="1" t="str">
        <f ca="1">PROPER(Table1[[#This Row],[Student Name]])</f>
        <v>Maria Rubab</v>
      </c>
      <c r="D46" s="1" t="str">
        <f ca="1">PROPER(Table1[[#This Row],[Father Name]])</f>
        <v>Muhammad Ashraf</v>
      </c>
      <c r="E46" s="1"/>
      <c r="F46" s="1" t="s">
        <v>66</v>
      </c>
      <c r="G46" s="1" t="s">
        <v>13</v>
      </c>
      <c r="H46" s="1" t="s">
        <v>14</v>
      </c>
      <c r="I46" s="1" t="s">
        <v>15</v>
      </c>
      <c r="J46" s="1" t="s">
        <v>16</v>
      </c>
      <c r="K46" s="1" t="s">
        <v>17</v>
      </c>
      <c r="L46" s="3" t="s">
        <v>18</v>
      </c>
    </row>
    <row r="47" spans="1:12" x14ac:dyDescent="0.2">
      <c r="A47" s="2">
        <v>46</v>
      </c>
      <c r="B47" s="1">
        <v>400958</v>
      </c>
      <c r="C47" s="1" t="str">
        <f ca="1">PROPER(Table1[[#This Row],[Student Name]])</f>
        <v xml:space="preserve">Noshaba </v>
      </c>
      <c r="D47" s="1" t="str">
        <f ca="1">PROPER(Table1[[#This Row],[Father Name]])</f>
        <v xml:space="preserve">M Javed </v>
      </c>
      <c r="E47" s="1"/>
      <c r="F47" s="1" t="s">
        <v>67</v>
      </c>
      <c r="G47" s="1" t="s">
        <v>13</v>
      </c>
      <c r="H47" s="1" t="s">
        <v>14</v>
      </c>
      <c r="I47" s="1" t="s">
        <v>15</v>
      </c>
      <c r="J47" s="1" t="s">
        <v>16</v>
      </c>
      <c r="K47" s="1" t="s">
        <v>17</v>
      </c>
      <c r="L47" s="3" t="s">
        <v>18</v>
      </c>
    </row>
    <row r="48" spans="1:12" x14ac:dyDescent="0.2">
      <c r="A48" s="4">
        <v>47</v>
      </c>
      <c r="B48" s="5">
        <v>484892</v>
      </c>
      <c r="C48" s="5" t="str">
        <f ca="1">PROPER(Table1[[#This Row],[Student Name]])</f>
        <v>Iqra Batool Qurashi</v>
      </c>
      <c r="D48" s="5" t="str">
        <f ca="1">PROPER(Table1[[#This Row],[Father Name]])</f>
        <v xml:space="preserve">Raseed Ali </v>
      </c>
      <c r="E48" s="5"/>
      <c r="F48" s="5" t="s">
        <v>92</v>
      </c>
      <c r="G48" s="5" t="s">
        <v>13</v>
      </c>
      <c r="H48" s="5" t="s">
        <v>14</v>
      </c>
      <c r="I48" s="5" t="s">
        <v>15</v>
      </c>
      <c r="J48" s="5" t="s">
        <v>16</v>
      </c>
      <c r="K48" s="5" t="s">
        <v>70</v>
      </c>
      <c r="L48" s="6" t="s">
        <v>71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0C2C-8451-4FA6-87ED-5144322E5FA1}">
  <dimension ref="A1:L26"/>
  <sheetViews>
    <sheetView topLeftCell="A2" zoomScale="90" zoomScaleNormal="90" workbookViewId="0">
      <selection activeCell="D15" sqref="D15"/>
    </sheetView>
  </sheetViews>
  <sheetFormatPr defaultRowHeight="14.25" x14ac:dyDescent="0.2"/>
  <cols>
    <col min="1" max="1" width="8" customWidth="1"/>
    <col min="2" max="2" width="11.375" customWidth="1"/>
    <col min="3" max="3" width="22.25" bestFit="1" customWidth="1"/>
    <col min="4" max="4" width="32.375" bestFit="1" customWidth="1"/>
    <col min="5" max="5" width="7.5" hidden="1" customWidth="1"/>
    <col min="6" max="6" width="15.5" hidden="1" customWidth="1"/>
    <col min="7" max="7" width="9.5" customWidth="1"/>
    <col min="8" max="8" width="33.75" hidden="1" customWidth="1"/>
    <col min="9" max="9" width="27.75" bestFit="1" customWidth="1"/>
    <col min="10" max="10" width="18" bestFit="1" customWidth="1"/>
    <col min="11" max="11" width="13.875" bestFit="1" customWidth="1"/>
    <col min="12" max="12" width="11" hidden="1" customWidth="1"/>
  </cols>
  <sheetData>
    <row r="1" spans="1:12" ht="15" x14ac:dyDescent="0.2">
      <c r="A1" s="7" t="s">
        <v>134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</row>
    <row r="2" spans="1:12" x14ac:dyDescent="0.2">
      <c r="A2" s="2">
        <v>1</v>
      </c>
      <c r="B2" s="1">
        <v>415252</v>
      </c>
      <c r="C2" s="1" t="str">
        <f ca="1">PROPER(Table2[[#This Row],[Student Name]])</f>
        <v>Abdul Hanaan</v>
      </c>
      <c r="D2" s="1" t="str">
        <f ca="1">PROPER(Table2[[#This Row],[Father Name]])</f>
        <v xml:space="preserve">Tariq Rasheed </v>
      </c>
      <c r="E2" s="1"/>
      <c r="F2" s="1" t="s">
        <v>68</v>
      </c>
      <c r="G2" s="1" t="s">
        <v>69</v>
      </c>
      <c r="H2" s="1" t="s">
        <v>14</v>
      </c>
      <c r="I2" s="1" t="s">
        <v>15</v>
      </c>
      <c r="J2" s="1" t="s">
        <v>16</v>
      </c>
      <c r="K2" s="1" t="s">
        <v>70</v>
      </c>
      <c r="L2" s="3" t="s">
        <v>71</v>
      </c>
    </row>
    <row r="3" spans="1:12" x14ac:dyDescent="0.2">
      <c r="A3" s="2">
        <v>2</v>
      </c>
      <c r="B3" s="1">
        <v>389072</v>
      </c>
      <c r="C3" s="1" t="str">
        <f ca="1">PROPER(Table2[[#This Row],[Student Name]])</f>
        <v>Uzair Zaib Khan</v>
      </c>
      <c r="D3" s="1" t="str">
        <f ca="1">PROPER(Table2[[#This Row],[Father Name]])</f>
        <v>Sultan Zaib Khan</v>
      </c>
      <c r="E3" s="1"/>
      <c r="F3" s="1" t="s">
        <v>72</v>
      </c>
      <c r="G3" s="1" t="s">
        <v>69</v>
      </c>
      <c r="H3" s="1" t="s">
        <v>14</v>
      </c>
      <c r="I3" s="1" t="s">
        <v>15</v>
      </c>
      <c r="J3" s="1" t="s">
        <v>16</v>
      </c>
      <c r="K3" s="1" t="s">
        <v>70</v>
      </c>
      <c r="L3" s="3" t="s">
        <v>71</v>
      </c>
    </row>
    <row r="4" spans="1:12" x14ac:dyDescent="0.2">
      <c r="A4" s="2">
        <v>3</v>
      </c>
      <c r="B4" s="1">
        <v>465490</v>
      </c>
      <c r="C4" s="1" t="str">
        <f ca="1">PROPER(Table2[[#This Row],[Student Name]])</f>
        <v>Ayyan</v>
      </c>
      <c r="D4" s="1" t="str">
        <f ca="1">PROPER(Table2[[#This Row],[Father Name]])</f>
        <v>Sharafat Ali</v>
      </c>
      <c r="E4" s="1"/>
      <c r="F4" s="1" t="s">
        <v>73</v>
      </c>
      <c r="G4" s="1" t="s">
        <v>69</v>
      </c>
      <c r="H4" s="1" t="s">
        <v>14</v>
      </c>
      <c r="I4" s="1" t="s">
        <v>15</v>
      </c>
      <c r="J4" s="1" t="s">
        <v>16</v>
      </c>
      <c r="K4" s="1" t="s">
        <v>70</v>
      </c>
      <c r="L4" s="3" t="s">
        <v>71</v>
      </c>
    </row>
    <row r="5" spans="1:12" x14ac:dyDescent="0.2">
      <c r="A5" s="2">
        <v>4</v>
      </c>
      <c r="B5" s="1">
        <v>461152</v>
      </c>
      <c r="C5" s="1" t="str">
        <f ca="1">PROPER(Table2[[#This Row],[Student Name]])</f>
        <v>Ahmed</v>
      </c>
      <c r="D5" s="1" t="str">
        <f ca="1">PROPER(Table2[[#This Row],[Father Name]])</f>
        <v>Muhammad Khalid</v>
      </c>
      <c r="E5" s="1"/>
      <c r="F5" s="1" t="s">
        <v>74</v>
      </c>
      <c r="G5" s="1" t="s">
        <v>69</v>
      </c>
      <c r="H5" s="1" t="s">
        <v>14</v>
      </c>
      <c r="I5" s="1" t="s">
        <v>15</v>
      </c>
      <c r="J5" s="1" t="s">
        <v>16</v>
      </c>
      <c r="K5" s="1" t="s">
        <v>70</v>
      </c>
      <c r="L5" s="3" t="s">
        <v>71</v>
      </c>
    </row>
    <row r="6" spans="1:12" x14ac:dyDescent="0.2">
      <c r="A6" s="2">
        <v>5</v>
      </c>
      <c r="B6" s="1">
        <v>482286</v>
      </c>
      <c r="C6" s="1" t="str">
        <f ca="1">PROPER(Table2[[#This Row],[Student Name]])</f>
        <v xml:space="preserve">Abdullah </v>
      </c>
      <c r="D6" s="1" t="str">
        <f ca="1">PROPER(Table2[[#This Row],[Father Name]])</f>
        <v>Muhammad Qasim</v>
      </c>
      <c r="E6" s="1"/>
      <c r="F6" s="1" t="s">
        <v>75</v>
      </c>
      <c r="G6" s="1" t="s">
        <v>69</v>
      </c>
      <c r="H6" s="1" t="s">
        <v>14</v>
      </c>
      <c r="I6" s="1" t="s">
        <v>15</v>
      </c>
      <c r="J6" s="1" t="s">
        <v>16</v>
      </c>
      <c r="K6" s="1" t="s">
        <v>70</v>
      </c>
      <c r="L6" s="3" t="s">
        <v>71</v>
      </c>
    </row>
    <row r="7" spans="1:12" x14ac:dyDescent="0.2">
      <c r="A7" s="2">
        <v>6</v>
      </c>
      <c r="B7" s="1">
        <v>482912</v>
      </c>
      <c r="C7" s="1" t="str">
        <f ca="1">PROPER(Table2[[#This Row],[Student Name]])</f>
        <v>Ubaid Ullah Khan</v>
      </c>
      <c r="D7" s="1" t="str">
        <f ca="1">PROPER(Table2[[#This Row],[Father Name]])</f>
        <v>Waheed Khan</v>
      </c>
      <c r="E7" s="1"/>
      <c r="F7" s="1" t="s">
        <v>76</v>
      </c>
      <c r="G7" s="1" t="s">
        <v>69</v>
      </c>
      <c r="H7" s="1" t="s">
        <v>14</v>
      </c>
      <c r="I7" s="1" t="s">
        <v>15</v>
      </c>
      <c r="J7" s="1" t="s">
        <v>16</v>
      </c>
      <c r="K7" s="1" t="s">
        <v>70</v>
      </c>
      <c r="L7" s="3" t="s">
        <v>71</v>
      </c>
    </row>
    <row r="8" spans="1:12" x14ac:dyDescent="0.2">
      <c r="A8" s="2">
        <v>7</v>
      </c>
      <c r="B8" s="1">
        <v>486581</v>
      </c>
      <c r="C8" s="1" t="str">
        <f ca="1">PROPER(Table2[[#This Row],[Student Name]])</f>
        <v>Saifullah</v>
      </c>
      <c r="D8" s="1" t="str">
        <f ca="1">PROPER(Table2[[#This Row],[Father Name]])</f>
        <v>Muhammad Qasim</v>
      </c>
      <c r="E8" s="1"/>
      <c r="F8" s="1" t="s">
        <v>77</v>
      </c>
      <c r="G8" s="1" t="s">
        <v>69</v>
      </c>
      <c r="H8" s="1" t="s">
        <v>14</v>
      </c>
      <c r="I8" s="1" t="s">
        <v>15</v>
      </c>
      <c r="J8" s="1" t="s">
        <v>16</v>
      </c>
      <c r="K8" s="1" t="s">
        <v>70</v>
      </c>
      <c r="L8" s="3" t="s">
        <v>71</v>
      </c>
    </row>
    <row r="9" spans="1:12" x14ac:dyDescent="0.2">
      <c r="A9" s="2">
        <v>8</v>
      </c>
      <c r="B9" s="1">
        <v>486771</v>
      </c>
      <c r="C9" s="1" t="str">
        <f ca="1">PROPER(Table2[[#This Row],[Student Name]])</f>
        <v xml:space="preserve">Muhammad Aqib </v>
      </c>
      <c r="D9" s="1" t="str">
        <f ca="1">PROPER(Table2[[#This Row],[Father Name]])</f>
        <v>Allah Ditto</v>
      </c>
      <c r="E9" s="1"/>
      <c r="F9" s="1" t="s">
        <v>78</v>
      </c>
      <c r="G9" s="1" t="s">
        <v>69</v>
      </c>
      <c r="H9" s="1" t="s">
        <v>14</v>
      </c>
      <c r="I9" s="1" t="s">
        <v>15</v>
      </c>
      <c r="J9" s="1" t="s">
        <v>16</v>
      </c>
      <c r="K9" s="1" t="s">
        <v>70</v>
      </c>
      <c r="L9" s="3" t="s">
        <v>71</v>
      </c>
    </row>
    <row r="10" spans="1:12" x14ac:dyDescent="0.2">
      <c r="A10" s="2">
        <v>9</v>
      </c>
      <c r="B10" s="1">
        <v>372026</v>
      </c>
      <c r="C10" s="1" t="str">
        <f ca="1">PROPER(Table2[[#This Row],[Student Name]])</f>
        <v xml:space="preserve">Muhammad Abubakar </v>
      </c>
      <c r="D10" s="1" t="str">
        <f ca="1">PROPER(Table2[[#This Row],[Father Name]])</f>
        <v>M.Abu Bakar</v>
      </c>
      <c r="E10" s="1"/>
      <c r="F10" s="1" t="s">
        <v>79</v>
      </c>
      <c r="G10" s="1" t="s">
        <v>69</v>
      </c>
      <c r="H10" s="1" t="s">
        <v>14</v>
      </c>
      <c r="I10" s="1" t="s">
        <v>15</v>
      </c>
      <c r="J10" s="1" t="s">
        <v>16</v>
      </c>
      <c r="K10" s="1" t="s">
        <v>70</v>
      </c>
      <c r="L10" s="3" t="s">
        <v>71</v>
      </c>
    </row>
    <row r="11" spans="1:12" x14ac:dyDescent="0.2">
      <c r="A11" s="2">
        <v>10</v>
      </c>
      <c r="B11" s="1">
        <v>414165</v>
      </c>
      <c r="C11" s="1" t="str">
        <f ca="1">PROPER(Table2[[#This Row],[Student Name]])</f>
        <v xml:space="preserve">Wasi Ul Hassan </v>
      </c>
      <c r="D11" s="1" t="str">
        <f ca="1">PROPER(Table2[[#This Row],[Father Name]])</f>
        <v xml:space="preserve">Syed Noor Hussain Shah Kazmi </v>
      </c>
      <c r="E11" s="1"/>
      <c r="F11" s="1" t="s">
        <v>80</v>
      </c>
      <c r="G11" s="1" t="s">
        <v>69</v>
      </c>
      <c r="H11" s="1" t="s">
        <v>14</v>
      </c>
      <c r="I11" s="1" t="s">
        <v>15</v>
      </c>
      <c r="J11" s="1" t="s">
        <v>16</v>
      </c>
      <c r="K11" s="1" t="s">
        <v>70</v>
      </c>
      <c r="L11" s="3" t="s">
        <v>71</v>
      </c>
    </row>
    <row r="12" spans="1:12" x14ac:dyDescent="0.2">
      <c r="A12" s="2">
        <v>11</v>
      </c>
      <c r="B12" s="1">
        <v>478413</v>
      </c>
      <c r="C12" s="1" t="str">
        <f ca="1">PROPER(Table2[[#This Row],[Student Name]])</f>
        <v>Abdul Manan</v>
      </c>
      <c r="D12" s="1" t="str">
        <f ca="1">PROPER(Table2[[#This Row],[Father Name]])</f>
        <v>Faqeer Muhammad</v>
      </c>
      <c r="E12" s="1"/>
      <c r="F12" s="1" t="s">
        <v>81</v>
      </c>
      <c r="G12" s="1" t="s">
        <v>69</v>
      </c>
      <c r="H12" s="1" t="s">
        <v>14</v>
      </c>
      <c r="I12" s="1" t="s">
        <v>15</v>
      </c>
      <c r="J12" s="1" t="s">
        <v>16</v>
      </c>
      <c r="K12" s="1" t="s">
        <v>70</v>
      </c>
      <c r="L12" s="3" t="s">
        <v>71</v>
      </c>
    </row>
    <row r="13" spans="1:12" x14ac:dyDescent="0.2">
      <c r="A13" s="2">
        <v>12</v>
      </c>
      <c r="B13" s="1">
        <v>483839</v>
      </c>
      <c r="C13" s="1" t="str">
        <f ca="1">PROPER(Table2[[#This Row],[Student Name]])</f>
        <v>Syed Konain Ali Shah</v>
      </c>
      <c r="D13" s="1" t="str">
        <f ca="1">PROPER(Table2[[#This Row],[Father Name]])</f>
        <v xml:space="preserve">Syed Noor Hussain </v>
      </c>
      <c r="E13" s="1"/>
      <c r="F13" s="1" t="s">
        <v>82</v>
      </c>
      <c r="G13" s="1" t="s">
        <v>69</v>
      </c>
      <c r="H13" s="1" t="s">
        <v>14</v>
      </c>
      <c r="I13" s="1" t="s">
        <v>15</v>
      </c>
      <c r="J13" s="1" t="s">
        <v>16</v>
      </c>
      <c r="K13" s="1" t="s">
        <v>70</v>
      </c>
      <c r="L13" s="3" t="s">
        <v>71</v>
      </c>
    </row>
    <row r="14" spans="1:12" x14ac:dyDescent="0.2">
      <c r="A14" s="2">
        <v>13</v>
      </c>
      <c r="B14" s="1">
        <v>484370</v>
      </c>
      <c r="C14" s="1" t="str">
        <f ca="1">PROPER(Table2[[#This Row],[Student Name]])</f>
        <v xml:space="preserve">Zohaib </v>
      </c>
      <c r="D14" s="1" t="str">
        <f ca="1">PROPER(Table2[[#This Row],[Father Name]])</f>
        <v xml:space="preserve">M Afzal </v>
      </c>
      <c r="E14" s="1"/>
      <c r="F14" s="1" t="s">
        <v>83</v>
      </c>
      <c r="G14" s="1" t="s">
        <v>69</v>
      </c>
      <c r="H14" s="1" t="s">
        <v>14</v>
      </c>
      <c r="I14" s="1" t="s">
        <v>15</v>
      </c>
      <c r="J14" s="1" t="s">
        <v>16</v>
      </c>
      <c r="K14" s="1" t="s">
        <v>70</v>
      </c>
      <c r="L14" s="3" t="s">
        <v>71</v>
      </c>
    </row>
    <row r="15" spans="1:12" x14ac:dyDescent="0.2">
      <c r="A15" s="2">
        <v>14</v>
      </c>
      <c r="B15" s="1">
        <v>478596</v>
      </c>
      <c r="C15" s="1" t="str">
        <f ca="1">PROPER(Table2[[#This Row],[Student Name]])</f>
        <v xml:space="preserve">Awais Khan </v>
      </c>
      <c r="D15" s="1" t="str">
        <f ca="1">PROPER(Table2[[#This Row],[Father Name]])</f>
        <v>Noor Manzey</v>
      </c>
      <c r="E15" s="1"/>
      <c r="F15" s="1" t="s">
        <v>84</v>
      </c>
      <c r="G15" s="1" t="s">
        <v>69</v>
      </c>
      <c r="H15" s="1" t="s">
        <v>14</v>
      </c>
      <c r="I15" s="1" t="s">
        <v>15</v>
      </c>
      <c r="J15" s="1" t="s">
        <v>16</v>
      </c>
      <c r="K15" s="1" t="s">
        <v>70</v>
      </c>
      <c r="L15" s="3" t="s">
        <v>71</v>
      </c>
    </row>
    <row r="16" spans="1:12" x14ac:dyDescent="0.2">
      <c r="A16" s="2">
        <v>15</v>
      </c>
      <c r="B16" s="1">
        <v>480551</v>
      </c>
      <c r="C16" s="1" t="str">
        <f ca="1">PROPER(Table2[[#This Row],[Student Name]])</f>
        <v xml:space="preserve">Sheikh Abdul Basit </v>
      </c>
      <c r="D16" s="1" t="str">
        <f ca="1">PROPER(Table2[[#This Row],[Father Name]])</f>
        <v xml:space="preserve">Muhammad Nadeem </v>
      </c>
      <c r="E16" s="1"/>
      <c r="F16" s="1" t="s">
        <v>85</v>
      </c>
      <c r="G16" s="1" t="s">
        <v>69</v>
      </c>
      <c r="H16" s="1" t="s">
        <v>14</v>
      </c>
      <c r="I16" s="1" t="s">
        <v>15</v>
      </c>
      <c r="J16" s="1" t="s">
        <v>16</v>
      </c>
      <c r="K16" s="1" t="s">
        <v>70</v>
      </c>
      <c r="L16" s="3" t="s">
        <v>71</v>
      </c>
    </row>
    <row r="17" spans="1:12" x14ac:dyDescent="0.2">
      <c r="A17" s="2">
        <v>16</v>
      </c>
      <c r="B17" s="1">
        <v>478457</v>
      </c>
      <c r="C17" s="1" t="str">
        <f ca="1">PROPER(Table2[[#This Row],[Student Name]])</f>
        <v>Sudais Ahmed</v>
      </c>
      <c r="D17" s="1" t="str">
        <f ca="1">PROPER(Table2[[#This Row],[Father Name]])</f>
        <v xml:space="preserve">Inayat Ur Rehman </v>
      </c>
      <c r="E17" s="1"/>
      <c r="F17" s="1" t="s">
        <v>86</v>
      </c>
      <c r="G17" s="1" t="s">
        <v>69</v>
      </c>
      <c r="H17" s="1" t="s">
        <v>14</v>
      </c>
      <c r="I17" s="1" t="s">
        <v>15</v>
      </c>
      <c r="J17" s="1" t="s">
        <v>16</v>
      </c>
      <c r="K17" s="1" t="s">
        <v>70</v>
      </c>
      <c r="L17" s="3" t="s">
        <v>71</v>
      </c>
    </row>
    <row r="18" spans="1:12" x14ac:dyDescent="0.2">
      <c r="A18" s="2">
        <v>17</v>
      </c>
      <c r="B18" s="1">
        <v>475036</v>
      </c>
      <c r="C18" s="1" t="str">
        <f ca="1">PROPER(Table2[[#This Row],[Student Name]])</f>
        <v>Sameer</v>
      </c>
      <c r="D18" s="1" t="str">
        <f ca="1">PROPER(Table2[[#This Row],[Father Name]])</f>
        <v>M.Bachal</v>
      </c>
      <c r="E18" s="1"/>
      <c r="F18" s="1" t="s">
        <v>87</v>
      </c>
      <c r="G18" s="1" t="s">
        <v>69</v>
      </c>
      <c r="H18" s="1" t="s">
        <v>14</v>
      </c>
      <c r="I18" s="1" t="s">
        <v>15</v>
      </c>
      <c r="J18" s="1" t="s">
        <v>16</v>
      </c>
      <c r="K18" s="1" t="s">
        <v>70</v>
      </c>
      <c r="L18" s="3" t="s">
        <v>71</v>
      </c>
    </row>
    <row r="19" spans="1:12" x14ac:dyDescent="0.2">
      <c r="A19" s="2">
        <v>18</v>
      </c>
      <c r="B19" s="1">
        <v>478642</v>
      </c>
      <c r="C19" s="1" t="str">
        <f ca="1">PROPER(Table2[[#This Row],[Student Name]])</f>
        <v xml:space="preserve">Hunzila </v>
      </c>
      <c r="D19" s="1" t="str">
        <f ca="1">PROPER(Table2[[#This Row],[Father Name]])</f>
        <v>Tariq Aziz</v>
      </c>
      <c r="E19" s="1"/>
      <c r="F19" s="1" t="s">
        <v>88</v>
      </c>
      <c r="G19" s="1" t="s">
        <v>69</v>
      </c>
      <c r="H19" s="1" t="s">
        <v>14</v>
      </c>
      <c r="I19" s="1" t="s">
        <v>15</v>
      </c>
      <c r="J19" s="1" t="s">
        <v>16</v>
      </c>
      <c r="K19" s="1" t="s">
        <v>70</v>
      </c>
      <c r="L19" s="3" t="s">
        <v>71</v>
      </c>
    </row>
    <row r="20" spans="1:12" x14ac:dyDescent="0.2">
      <c r="A20" s="2">
        <v>19</v>
      </c>
      <c r="B20" s="1">
        <v>480218</v>
      </c>
      <c r="C20" s="1" t="str">
        <f ca="1">PROPER(Table2[[#This Row],[Student Name]])</f>
        <v>Sultan Shareef</v>
      </c>
      <c r="D20" s="1" t="str">
        <f ca="1">PROPER(Table2[[#This Row],[Father Name]])</f>
        <v xml:space="preserve">Muhammad Shareef </v>
      </c>
      <c r="E20" s="1"/>
      <c r="F20" s="1" t="s">
        <v>89</v>
      </c>
      <c r="G20" s="1" t="s">
        <v>69</v>
      </c>
      <c r="H20" s="1" t="s">
        <v>14</v>
      </c>
      <c r="I20" s="1" t="s">
        <v>15</v>
      </c>
      <c r="J20" s="1" t="s">
        <v>16</v>
      </c>
      <c r="K20" s="1" t="s">
        <v>70</v>
      </c>
      <c r="L20" s="3" t="s">
        <v>71</v>
      </c>
    </row>
    <row r="21" spans="1:12" x14ac:dyDescent="0.2">
      <c r="A21" s="2">
        <v>20</v>
      </c>
      <c r="B21" s="1">
        <v>479321</v>
      </c>
      <c r="C21" s="1" t="str">
        <f ca="1">PROPER(Table2[[#This Row],[Student Name]])</f>
        <v xml:space="preserve">Shuaib </v>
      </c>
      <c r="D21" s="1" t="str">
        <f ca="1">PROPER(Table2[[#This Row],[Father Name]])</f>
        <v xml:space="preserve">Maqsood Anwer </v>
      </c>
      <c r="E21" s="1"/>
      <c r="F21" s="1" t="s">
        <v>90</v>
      </c>
      <c r="G21" s="1" t="s">
        <v>69</v>
      </c>
      <c r="H21" s="1" t="s">
        <v>14</v>
      </c>
      <c r="I21" s="1" t="s">
        <v>15</v>
      </c>
      <c r="J21" s="1" t="s">
        <v>16</v>
      </c>
      <c r="K21" s="1" t="s">
        <v>70</v>
      </c>
      <c r="L21" s="3" t="s">
        <v>71</v>
      </c>
    </row>
    <row r="22" spans="1:12" x14ac:dyDescent="0.2">
      <c r="A22" s="2">
        <v>21</v>
      </c>
      <c r="B22" s="1">
        <v>481685</v>
      </c>
      <c r="C22" s="1" t="str">
        <f ca="1">PROPER(Table2[[#This Row],[Student Name]])</f>
        <v>Muhammad Hassan</v>
      </c>
      <c r="D22" s="1" t="str">
        <f ca="1">PROPER(Table2[[#This Row],[Father Name]])</f>
        <v xml:space="preserve">Muhammad Asif </v>
      </c>
      <c r="E22" s="1"/>
      <c r="F22" s="1" t="s">
        <v>91</v>
      </c>
      <c r="G22" s="1" t="s">
        <v>69</v>
      </c>
      <c r="H22" s="1" t="s">
        <v>14</v>
      </c>
      <c r="I22" s="1" t="s">
        <v>15</v>
      </c>
      <c r="J22" s="1" t="s">
        <v>16</v>
      </c>
      <c r="K22" s="1" t="s">
        <v>70</v>
      </c>
      <c r="L22" s="3" t="s">
        <v>71</v>
      </c>
    </row>
    <row r="23" spans="1:12" x14ac:dyDescent="0.2">
      <c r="A23" s="2">
        <v>22</v>
      </c>
      <c r="B23" s="1">
        <v>475995</v>
      </c>
      <c r="C23" s="1" t="str">
        <f ca="1">PROPER(Table2[[#This Row],[Student Name]])</f>
        <v xml:space="preserve">Abdul Wahab </v>
      </c>
      <c r="D23" s="1" t="str">
        <f ca="1">PROPER(Table2[[#This Row],[Father Name]])</f>
        <v xml:space="preserve">Farooq Hussain </v>
      </c>
      <c r="E23" s="1"/>
      <c r="F23" s="1" t="s">
        <v>93</v>
      </c>
      <c r="G23" s="1" t="s">
        <v>69</v>
      </c>
      <c r="H23" s="1" t="s">
        <v>14</v>
      </c>
      <c r="I23" s="1" t="s">
        <v>15</v>
      </c>
      <c r="J23" s="1" t="s">
        <v>16</v>
      </c>
      <c r="K23" s="1" t="s">
        <v>70</v>
      </c>
      <c r="L23" s="3" t="s">
        <v>71</v>
      </c>
    </row>
    <row r="24" spans="1:12" x14ac:dyDescent="0.2">
      <c r="A24" s="2">
        <v>23</v>
      </c>
      <c r="B24" s="1">
        <v>483983</v>
      </c>
      <c r="C24" s="1" t="str">
        <f ca="1">PROPER(Table2[[#This Row],[Student Name]])</f>
        <v>Zakir Hussain Khan</v>
      </c>
      <c r="D24" s="1" t="str">
        <f ca="1">PROPER(Table2[[#This Row],[Father Name]])</f>
        <v xml:space="preserve">Bakhtawar Said </v>
      </c>
      <c r="E24" s="1"/>
      <c r="F24" s="1" t="s">
        <v>94</v>
      </c>
      <c r="G24" s="1" t="s">
        <v>69</v>
      </c>
      <c r="H24" s="1" t="s">
        <v>14</v>
      </c>
      <c r="I24" s="1" t="s">
        <v>15</v>
      </c>
      <c r="J24" s="1" t="s">
        <v>16</v>
      </c>
      <c r="K24" s="1" t="s">
        <v>70</v>
      </c>
      <c r="L24" s="3" t="s">
        <v>71</v>
      </c>
    </row>
    <row r="25" spans="1:12" x14ac:dyDescent="0.2">
      <c r="A25" s="2">
        <v>24</v>
      </c>
      <c r="B25" s="1">
        <v>485378</v>
      </c>
      <c r="C25" s="1" t="str">
        <f ca="1">PROPER(Table2[[#This Row],[Student Name]])</f>
        <v xml:space="preserve">Ali Moiz </v>
      </c>
      <c r="D25" s="1" t="str">
        <f ca="1">PROPER(Table2[[#This Row],[Father Name]])</f>
        <v xml:space="preserve">Ghulam Fareed </v>
      </c>
      <c r="E25" s="1"/>
      <c r="F25" s="1" t="s">
        <v>95</v>
      </c>
      <c r="G25" s="1" t="s">
        <v>69</v>
      </c>
      <c r="H25" s="1" t="s">
        <v>14</v>
      </c>
      <c r="I25" s="1" t="s">
        <v>15</v>
      </c>
      <c r="J25" s="1" t="s">
        <v>16</v>
      </c>
      <c r="K25" s="1" t="s">
        <v>70</v>
      </c>
      <c r="L25" s="3" t="s">
        <v>71</v>
      </c>
    </row>
    <row r="26" spans="1:12" x14ac:dyDescent="0.2">
      <c r="A26" s="4">
        <v>25</v>
      </c>
      <c r="B26" s="5">
        <v>487351</v>
      </c>
      <c r="C26" s="5" t="str">
        <f ca="1">PROPER(Table2[[#This Row],[Student Name]])</f>
        <v>Moid Ul Haq</v>
      </c>
      <c r="D26" s="5" t="str">
        <f ca="1">PROPER(Table2[[#This Row],[Father Name]])</f>
        <v>M. Afzal</v>
      </c>
      <c r="E26" s="5"/>
      <c r="F26" s="5" t="s">
        <v>96</v>
      </c>
      <c r="G26" s="5" t="s">
        <v>69</v>
      </c>
      <c r="H26" s="5" t="s">
        <v>14</v>
      </c>
      <c r="I26" s="5" t="s">
        <v>15</v>
      </c>
      <c r="J26" s="5" t="s">
        <v>16</v>
      </c>
      <c r="K26" s="5" t="s">
        <v>70</v>
      </c>
      <c r="L26" s="6" t="s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1A9C4-21B4-4CE3-86FE-5DDC86284EC3}">
  <dimension ref="A1:L20"/>
  <sheetViews>
    <sheetView zoomScale="90" zoomScaleNormal="90" workbookViewId="0">
      <selection activeCell="I10" sqref="I10"/>
    </sheetView>
  </sheetViews>
  <sheetFormatPr defaultRowHeight="14.25" x14ac:dyDescent="0.2"/>
  <cols>
    <col min="1" max="1" width="9.5" bestFit="1" customWidth="1"/>
    <col min="2" max="2" width="11.375" customWidth="1"/>
    <col min="3" max="3" width="19" bestFit="1" customWidth="1"/>
    <col min="4" max="4" width="24.125" bestFit="1" customWidth="1"/>
    <col min="5" max="5" width="7.5" hidden="1" customWidth="1"/>
    <col min="6" max="6" width="15.5" hidden="1" customWidth="1"/>
    <col min="7" max="7" width="9.5" customWidth="1"/>
    <col min="8" max="8" width="33.75" hidden="1" customWidth="1"/>
    <col min="9" max="9" width="16" bestFit="1" customWidth="1"/>
    <col min="10" max="10" width="19.375" bestFit="1" customWidth="1"/>
    <col min="11" max="11" width="14.75" bestFit="1" customWidth="1"/>
    <col min="12" max="12" width="10.75" hidden="1" customWidth="1"/>
  </cols>
  <sheetData>
    <row r="1" spans="1:12" ht="15" x14ac:dyDescent="0.2">
      <c r="A1" s="7" t="s">
        <v>134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9" t="s">
        <v>10</v>
      </c>
    </row>
    <row r="2" spans="1:12" x14ac:dyDescent="0.2">
      <c r="A2" s="2">
        <v>1</v>
      </c>
      <c r="B2" s="1">
        <v>413009</v>
      </c>
      <c r="C2" s="1" t="str">
        <f ca="1">PROPER(Table3[[#This Row],[Student Name]])</f>
        <v>Tajmena</v>
      </c>
      <c r="D2" s="1" t="str">
        <f ca="1">PROPER(Table3[[#This Row],[Father Name]])</f>
        <v>Taj Malook Afridi</v>
      </c>
      <c r="E2" s="1"/>
      <c r="F2" s="1" t="s">
        <v>97</v>
      </c>
      <c r="G2" s="1" t="s">
        <v>13</v>
      </c>
      <c r="H2" s="1" t="s">
        <v>14</v>
      </c>
      <c r="I2" s="1" t="s">
        <v>98</v>
      </c>
      <c r="J2" s="1" t="s">
        <v>99</v>
      </c>
      <c r="K2" s="1" t="s">
        <v>100</v>
      </c>
      <c r="L2" s="3" t="s">
        <v>101</v>
      </c>
    </row>
    <row r="3" spans="1:12" x14ac:dyDescent="0.2">
      <c r="A3" s="2">
        <v>2</v>
      </c>
      <c r="B3" s="1">
        <v>397198</v>
      </c>
      <c r="C3" s="1" t="str">
        <f ca="1">PROPER(Table3[[#This Row],[Student Name]])</f>
        <v xml:space="preserve">Umaima </v>
      </c>
      <c r="D3" s="1" t="str">
        <f ca="1">PROPER(Table3[[#This Row],[Father Name]])</f>
        <v xml:space="preserve">Muhammad Ishtiaq </v>
      </c>
      <c r="E3" s="1"/>
      <c r="F3" s="1" t="s">
        <v>102</v>
      </c>
      <c r="G3" s="1" t="s">
        <v>13</v>
      </c>
      <c r="H3" s="1" t="s">
        <v>14</v>
      </c>
      <c r="I3" s="1" t="s">
        <v>98</v>
      </c>
      <c r="J3" s="1" t="s">
        <v>99</v>
      </c>
      <c r="K3" s="1" t="s">
        <v>100</v>
      </c>
      <c r="L3" s="3" t="s">
        <v>101</v>
      </c>
    </row>
    <row r="4" spans="1:12" x14ac:dyDescent="0.2">
      <c r="A4" s="2">
        <v>3</v>
      </c>
      <c r="B4" s="1">
        <v>411309</v>
      </c>
      <c r="C4" s="1" t="str">
        <f ca="1">PROPER(Table3[[#This Row],[Student Name]])</f>
        <v>Elman Aziz</v>
      </c>
      <c r="D4" s="1" t="str">
        <f ca="1">PROPER(Table3[[#This Row],[Father Name]])</f>
        <v>Muhammad Aziz</v>
      </c>
      <c r="E4" s="1"/>
      <c r="F4" s="1" t="s">
        <v>103</v>
      </c>
      <c r="G4" s="1" t="s">
        <v>13</v>
      </c>
      <c r="H4" s="1" t="s">
        <v>14</v>
      </c>
      <c r="I4" s="1" t="s">
        <v>98</v>
      </c>
      <c r="J4" s="1" t="s">
        <v>99</v>
      </c>
      <c r="K4" s="1" t="s">
        <v>100</v>
      </c>
      <c r="L4" s="3" t="s">
        <v>101</v>
      </c>
    </row>
    <row r="5" spans="1:12" x14ac:dyDescent="0.2">
      <c r="A5" s="2">
        <v>4</v>
      </c>
      <c r="B5" s="1">
        <v>411303</v>
      </c>
      <c r="C5" s="1" t="str">
        <f ca="1">PROPER(Table3[[#This Row],[Student Name]])</f>
        <v>Roshni Bibi</v>
      </c>
      <c r="D5" s="1" t="str">
        <f ca="1">PROPER(Table3[[#This Row],[Father Name]])</f>
        <v>Abdul Aziz</v>
      </c>
      <c r="E5" s="1"/>
      <c r="F5" s="1" t="s">
        <v>104</v>
      </c>
      <c r="G5" s="1" t="s">
        <v>13</v>
      </c>
      <c r="H5" s="1" t="s">
        <v>14</v>
      </c>
      <c r="I5" s="1" t="s">
        <v>98</v>
      </c>
      <c r="J5" s="1" t="s">
        <v>99</v>
      </c>
      <c r="K5" s="1" t="s">
        <v>100</v>
      </c>
      <c r="L5" s="3" t="s">
        <v>101</v>
      </c>
    </row>
    <row r="6" spans="1:12" x14ac:dyDescent="0.2">
      <c r="A6" s="2">
        <v>5</v>
      </c>
      <c r="B6" s="1">
        <v>338502</v>
      </c>
      <c r="C6" s="1" t="str">
        <f ca="1">PROPER(Table3[[#This Row],[Student Name]])</f>
        <v xml:space="preserve">Noor Mariyam </v>
      </c>
      <c r="D6" s="1" t="str">
        <f ca="1">PROPER(Table3[[#This Row],[Father Name]])</f>
        <v>Islam Badshah</v>
      </c>
      <c r="E6" s="1"/>
      <c r="F6" s="1" t="s">
        <v>105</v>
      </c>
      <c r="G6" s="1" t="s">
        <v>13</v>
      </c>
      <c r="H6" s="1" t="s">
        <v>14</v>
      </c>
      <c r="I6" s="1" t="s">
        <v>98</v>
      </c>
      <c r="J6" s="1" t="s">
        <v>99</v>
      </c>
      <c r="K6" s="1" t="s">
        <v>100</v>
      </c>
      <c r="L6" s="3" t="s">
        <v>101</v>
      </c>
    </row>
    <row r="7" spans="1:12" x14ac:dyDescent="0.2">
      <c r="A7" s="2">
        <v>6</v>
      </c>
      <c r="B7" s="1">
        <v>413766</v>
      </c>
      <c r="C7" s="1" t="str">
        <f ca="1">PROPER(Table3[[#This Row],[Student Name]])</f>
        <v>Arisha</v>
      </c>
      <c r="D7" s="1" t="str">
        <f ca="1">PROPER(Table3[[#This Row],[Father Name]])</f>
        <v>Sagheer</v>
      </c>
      <c r="E7" s="1"/>
      <c r="F7" s="1" t="s">
        <v>106</v>
      </c>
      <c r="G7" s="1" t="s">
        <v>13</v>
      </c>
      <c r="H7" s="1" t="s">
        <v>14</v>
      </c>
      <c r="I7" s="1" t="s">
        <v>98</v>
      </c>
      <c r="J7" s="1" t="s">
        <v>99</v>
      </c>
      <c r="K7" s="1" t="s">
        <v>100</v>
      </c>
      <c r="L7" s="3" t="s">
        <v>101</v>
      </c>
    </row>
    <row r="8" spans="1:12" x14ac:dyDescent="0.2">
      <c r="A8" s="2">
        <v>7</v>
      </c>
      <c r="B8" s="1">
        <v>397741</v>
      </c>
      <c r="C8" s="1" t="str">
        <f ca="1">PROPER(Table3[[#This Row],[Student Name]])</f>
        <v>Samreen</v>
      </c>
      <c r="D8" s="1" t="str">
        <f ca="1">PROPER(Table3[[#This Row],[Father Name]])</f>
        <v>Chamman Khan</v>
      </c>
      <c r="E8" s="1"/>
      <c r="F8" s="1" t="s">
        <v>107</v>
      </c>
      <c r="G8" s="1" t="s">
        <v>13</v>
      </c>
      <c r="H8" s="1" t="s">
        <v>14</v>
      </c>
      <c r="I8" s="1" t="s">
        <v>98</v>
      </c>
      <c r="J8" s="1" t="s">
        <v>99</v>
      </c>
      <c r="K8" s="1" t="s">
        <v>100</v>
      </c>
      <c r="L8" s="3" t="s">
        <v>101</v>
      </c>
    </row>
    <row r="9" spans="1:12" x14ac:dyDescent="0.2">
      <c r="A9" s="2">
        <v>8</v>
      </c>
      <c r="B9" s="1">
        <v>380326</v>
      </c>
      <c r="C9" s="1" t="str">
        <f ca="1">PROPER(Table3[[#This Row],[Student Name]])</f>
        <v>Safiya Amir Khan</v>
      </c>
      <c r="D9" s="1" t="str">
        <f ca="1">PROPER(Table3[[#This Row],[Father Name]])</f>
        <v>Reham Ali</v>
      </c>
      <c r="E9" s="1"/>
      <c r="F9" s="1" t="s">
        <v>108</v>
      </c>
      <c r="G9" s="1" t="s">
        <v>13</v>
      </c>
      <c r="H9" s="1" t="s">
        <v>14</v>
      </c>
      <c r="I9" s="1" t="s">
        <v>98</v>
      </c>
      <c r="J9" s="1" t="s">
        <v>99</v>
      </c>
      <c r="K9" s="1" t="s">
        <v>100</v>
      </c>
      <c r="L9" s="3" t="s">
        <v>101</v>
      </c>
    </row>
    <row r="10" spans="1:12" x14ac:dyDescent="0.2">
      <c r="A10" s="2">
        <v>9</v>
      </c>
      <c r="B10" s="1">
        <v>380346</v>
      </c>
      <c r="C10" s="1" t="str">
        <f ca="1">PROPER(Table3[[#This Row],[Student Name]])</f>
        <v>Khansa Amir Khan</v>
      </c>
      <c r="D10" s="1" t="str">
        <f ca="1">PROPER(Table3[[#This Row],[Father Name]])</f>
        <v>Amir Khan</v>
      </c>
      <c r="E10" s="1"/>
      <c r="F10" s="1" t="s">
        <v>109</v>
      </c>
      <c r="G10" s="1" t="s">
        <v>13</v>
      </c>
      <c r="H10" s="1" t="s">
        <v>14</v>
      </c>
      <c r="I10" s="1" t="s">
        <v>98</v>
      </c>
      <c r="J10" s="1" t="s">
        <v>99</v>
      </c>
      <c r="K10" s="1" t="s">
        <v>100</v>
      </c>
      <c r="L10" s="3" t="s">
        <v>101</v>
      </c>
    </row>
    <row r="11" spans="1:12" x14ac:dyDescent="0.2">
      <c r="A11" s="2">
        <v>10</v>
      </c>
      <c r="B11" s="1">
        <v>397406</v>
      </c>
      <c r="C11" s="1" t="str">
        <f ca="1">PROPER(Table3[[#This Row],[Student Name]])</f>
        <v>Hira Javed</v>
      </c>
      <c r="D11" s="1" t="str">
        <f ca="1">PROPER(Table3[[#This Row],[Father Name]])</f>
        <v>Muhammad Javed Khan</v>
      </c>
      <c r="E11" s="1"/>
      <c r="F11" s="1" t="s">
        <v>110</v>
      </c>
      <c r="G11" s="1" t="s">
        <v>13</v>
      </c>
      <c r="H11" s="1" t="s">
        <v>14</v>
      </c>
      <c r="I11" s="1" t="s">
        <v>98</v>
      </c>
      <c r="J11" s="1" t="s">
        <v>99</v>
      </c>
      <c r="K11" s="1" t="s">
        <v>100</v>
      </c>
      <c r="L11" s="3" t="s">
        <v>101</v>
      </c>
    </row>
    <row r="12" spans="1:12" x14ac:dyDescent="0.2">
      <c r="A12" s="2">
        <v>11</v>
      </c>
      <c r="B12" s="1">
        <v>380294</v>
      </c>
      <c r="C12" s="1" t="str">
        <f ca="1">PROPER(Table3[[#This Row],[Student Name]])</f>
        <v>Shumaila Imran</v>
      </c>
      <c r="D12" s="1" t="str">
        <f ca="1">PROPER(Table3[[#This Row],[Father Name]])</f>
        <v>Jawaid Butt</v>
      </c>
      <c r="E12" s="1"/>
      <c r="F12" s="1" t="s">
        <v>111</v>
      </c>
      <c r="G12" s="1" t="s">
        <v>13</v>
      </c>
      <c r="H12" s="1" t="s">
        <v>14</v>
      </c>
      <c r="I12" s="1" t="s">
        <v>98</v>
      </c>
      <c r="J12" s="1" t="s">
        <v>99</v>
      </c>
      <c r="K12" s="1" t="s">
        <v>100</v>
      </c>
      <c r="L12" s="3" t="s">
        <v>101</v>
      </c>
    </row>
    <row r="13" spans="1:12" x14ac:dyDescent="0.2">
      <c r="A13" s="2">
        <v>12</v>
      </c>
      <c r="B13" s="1">
        <v>478512</v>
      </c>
      <c r="C13" s="1" t="str">
        <f ca="1">PROPER(Table3[[#This Row],[Student Name]])</f>
        <v>Asia Asad</v>
      </c>
      <c r="D13" s="1" t="str">
        <f ca="1">PROPER(Table3[[#This Row],[Father Name]])</f>
        <v>Sardar Meer</v>
      </c>
      <c r="E13" s="1"/>
      <c r="F13" s="1" t="s">
        <v>112</v>
      </c>
      <c r="G13" s="1" t="s">
        <v>13</v>
      </c>
      <c r="H13" s="1" t="s">
        <v>14</v>
      </c>
      <c r="I13" s="1" t="s">
        <v>98</v>
      </c>
      <c r="J13" s="1" t="s">
        <v>99</v>
      </c>
      <c r="K13" s="1" t="s">
        <v>100</v>
      </c>
      <c r="L13" s="3" t="s">
        <v>101</v>
      </c>
    </row>
    <row r="14" spans="1:12" x14ac:dyDescent="0.2">
      <c r="A14" s="2">
        <v>13</v>
      </c>
      <c r="B14" s="1">
        <v>383242</v>
      </c>
      <c r="C14" s="1" t="str">
        <f ca="1">PROPER(Table3[[#This Row],[Student Name]])</f>
        <v xml:space="preserve">Misbah Asif </v>
      </c>
      <c r="D14" s="1" t="str">
        <f ca="1">PROPER(Table3[[#This Row],[Father Name]])</f>
        <v>Mohammad Asif</v>
      </c>
      <c r="E14" s="1"/>
      <c r="F14" s="1" t="s">
        <v>113</v>
      </c>
      <c r="G14" s="1" t="s">
        <v>13</v>
      </c>
      <c r="H14" s="1" t="s">
        <v>14</v>
      </c>
      <c r="I14" s="1" t="s">
        <v>98</v>
      </c>
      <c r="J14" s="1" t="s">
        <v>99</v>
      </c>
      <c r="K14" s="1" t="s">
        <v>100</v>
      </c>
      <c r="L14" s="3" t="s">
        <v>101</v>
      </c>
    </row>
    <row r="15" spans="1:12" x14ac:dyDescent="0.2">
      <c r="A15" s="2">
        <v>14</v>
      </c>
      <c r="B15" s="1">
        <v>402533</v>
      </c>
      <c r="C15" s="1" t="str">
        <f ca="1">PROPER(Table3[[#This Row],[Student Name]])</f>
        <v xml:space="preserve">Dua Adil </v>
      </c>
      <c r="D15" s="1" t="str">
        <f ca="1">PROPER(Table3[[#This Row],[Father Name]])</f>
        <v xml:space="preserve">M.Adil </v>
      </c>
      <c r="E15" s="1"/>
      <c r="F15" s="1" t="s">
        <v>114</v>
      </c>
      <c r="G15" s="1" t="s">
        <v>13</v>
      </c>
      <c r="H15" s="1" t="s">
        <v>14</v>
      </c>
      <c r="I15" s="1" t="s">
        <v>98</v>
      </c>
      <c r="J15" s="1" t="s">
        <v>99</v>
      </c>
      <c r="K15" s="1" t="s">
        <v>100</v>
      </c>
      <c r="L15" s="3" t="s">
        <v>101</v>
      </c>
    </row>
    <row r="16" spans="1:12" x14ac:dyDescent="0.2">
      <c r="A16" s="2">
        <v>15</v>
      </c>
      <c r="B16" s="1">
        <v>486120</v>
      </c>
      <c r="C16" s="1" t="str">
        <f ca="1">PROPER(Table3[[#This Row],[Student Name]])</f>
        <v xml:space="preserve">Malaika Mushtaq </v>
      </c>
      <c r="D16" s="1" t="str">
        <f ca="1">PROPER(Table3[[#This Row],[Father Name]])</f>
        <v xml:space="preserve">Muhammad Mushtaq </v>
      </c>
      <c r="E16" s="1"/>
      <c r="F16" s="1" t="s">
        <v>115</v>
      </c>
      <c r="G16" s="1" t="s">
        <v>13</v>
      </c>
      <c r="H16" s="1" t="s">
        <v>14</v>
      </c>
      <c r="I16" s="1" t="s">
        <v>98</v>
      </c>
      <c r="J16" s="1" t="s">
        <v>99</v>
      </c>
      <c r="K16" s="1" t="s">
        <v>100</v>
      </c>
      <c r="L16" s="3" t="s">
        <v>101</v>
      </c>
    </row>
    <row r="17" spans="1:12" x14ac:dyDescent="0.2">
      <c r="A17" s="2">
        <v>16</v>
      </c>
      <c r="B17" s="1">
        <v>486854</v>
      </c>
      <c r="C17" s="1" t="str">
        <f ca="1">PROPER(Table3[[#This Row],[Student Name]])</f>
        <v>Tuba Masoom</v>
      </c>
      <c r="D17" s="1" t="str">
        <f ca="1">PROPER(Table3[[#This Row],[Father Name]])</f>
        <v>Muhammad Masoom</v>
      </c>
      <c r="E17" s="1"/>
      <c r="F17" s="1" t="s">
        <v>116</v>
      </c>
      <c r="G17" s="1" t="s">
        <v>13</v>
      </c>
      <c r="H17" s="1" t="s">
        <v>14</v>
      </c>
      <c r="I17" s="1" t="s">
        <v>98</v>
      </c>
      <c r="J17" s="1" t="s">
        <v>99</v>
      </c>
      <c r="K17" s="1" t="s">
        <v>100</v>
      </c>
      <c r="L17" s="3" t="s">
        <v>101</v>
      </c>
    </row>
    <row r="18" spans="1:12" x14ac:dyDescent="0.2">
      <c r="A18" s="2">
        <v>17</v>
      </c>
      <c r="B18" s="1">
        <v>478743</v>
      </c>
      <c r="C18" s="1" t="str">
        <f ca="1">PROPER(Table3[[#This Row],[Student Name]])</f>
        <v xml:space="preserve">Syeda Maira Shah </v>
      </c>
      <c r="D18" s="1" t="str">
        <f ca="1">PROPER(Table3[[#This Row],[Father Name]])</f>
        <v>Syed Sardar Shah</v>
      </c>
      <c r="E18" s="1"/>
      <c r="F18" s="1" t="s">
        <v>117</v>
      </c>
      <c r="G18" s="1" t="s">
        <v>13</v>
      </c>
      <c r="H18" s="1" t="s">
        <v>14</v>
      </c>
      <c r="I18" s="1" t="s">
        <v>98</v>
      </c>
      <c r="J18" s="1" t="s">
        <v>99</v>
      </c>
      <c r="K18" s="1" t="s">
        <v>100</v>
      </c>
      <c r="L18" s="3" t="s">
        <v>101</v>
      </c>
    </row>
    <row r="19" spans="1:12" x14ac:dyDescent="0.2">
      <c r="A19" s="2">
        <v>18</v>
      </c>
      <c r="B19" s="1">
        <v>381570</v>
      </c>
      <c r="C19" s="1" t="str">
        <f ca="1">PROPER(Table3[[#This Row],[Student Name]])</f>
        <v xml:space="preserve">Meerab Siddiqui </v>
      </c>
      <c r="D19" s="1" t="str">
        <f ca="1">PROPER(Table3[[#This Row],[Father Name]])</f>
        <v xml:space="preserve">Muhammad Akhtar Adil </v>
      </c>
      <c r="E19" s="1"/>
      <c r="F19" s="1" t="s">
        <v>118</v>
      </c>
      <c r="G19" s="1" t="s">
        <v>13</v>
      </c>
      <c r="H19" s="1" t="s">
        <v>14</v>
      </c>
      <c r="I19" s="1" t="s">
        <v>98</v>
      </c>
      <c r="J19" s="1" t="s">
        <v>99</v>
      </c>
      <c r="K19" s="1" t="s">
        <v>100</v>
      </c>
      <c r="L19" s="3" t="s">
        <v>101</v>
      </c>
    </row>
    <row r="20" spans="1:12" x14ac:dyDescent="0.2">
      <c r="A20" s="4">
        <v>19</v>
      </c>
      <c r="B20" s="5">
        <v>481867</v>
      </c>
      <c r="C20" s="5" t="str">
        <f ca="1">PROPER(Table3[[#This Row],[Student Name]])</f>
        <v xml:space="preserve">Rafia Amjad </v>
      </c>
      <c r="D20" s="5" t="str">
        <f ca="1">PROPER(Table3[[#This Row],[Father Name]])</f>
        <v xml:space="preserve">Raja Amjad Waheed </v>
      </c>
      <c r="E20" s="5"/>
      <c r="F20" s="5" t="s">
        <v>119</v>
      </c>
      <c r="G20" s="5" t="s">
        <v>13</v>
      </c>
      <c r="H20" s="5" t="s">
        <v>14</v>
      </c>
      <c r="I20" s="5" t="s">
        <v>98</v>
      </c>
      <c r="J20" s="5" t="s">
        <v>99</v>
      </c>
      <c r="K20" s="5" t="s">
        <v>100</v>
      </c>
      <c r="L20" s="6" t="s">
        <v>101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A8150-518B-418A-94C5-4827F76DC1FF}">
  <dimension ref="A1:L14"/>
  <sheetViews>
    <sheetView zoomScale="90" zoomScaleNormal="90" workbookViewId="0">
      <selection activeCell="O10" sqref="O10"/>
    </sheetView>
  </sheetViews>
  <sheetFormatPr defaultRowHeight="14.25" x14ac:dyDescent="0.2"/>
  <cols>
    <col min="1" max="1" width="9.5" bestFit="1" customWidth="1"/>
    <col min="2" max="2" width="11.375" customWidth="1"/>
    <col min="3" max="3" width="23.375" bestFit="1" customWidth="1"/>
    <col min="4" max="4" width="27.25" bestFit="1" customWidth="1"/>
    <col min="5" max="5" width="7.5" hidden="1" customWidth="1"/>
    <col min="6" max="6" width="15.5" hidden="1" customWidth="1"/>
    <col min="7" max="7" width="9.5" customWidth="1"/>
    <col min="8" max="8" width="33.75" hidden="1" customWidth="1"/>
    <col min="9" max="9" width="16" bestFit="1" customWidth="1"/>
    <col min="10" max="10" width="19.375" bestFit="1" customWidth="1"/>
    <col min="11" max="11" width="13.875" bestFit="1" customWidth="1"/>
    <col min="12" max="12" width="11" hidden="1" customWidth="1"/>
  </cols>
  <sheetData>
    <row r="1" spans="1:12" ht="15" x14ac:dyDescent="0.2">
      <c r="A1" s="10" t="s">
        <v>134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9</v>
      </c>
      <c r="L1" s="12" t="s">
        <v>10</v>
      </c>
    </row>
    <row r="2" spans="1:12" x14ac:dyDescent="0.2">
      <c r="A2" s="2">
        <v>1</v>
      </c>
      <c r="B2" s="1">
        <v>410229</v>
      </c>
      <c r="C2" s="1" t="str">
        <f ca="1">PROPER(Table4[[#This Row],[Student Name]])</f>
        <v>Roshaansami</v>
      </c>
      <c r="D2" s="1" t="str">
        <f ca="1">PROPER(Table4[[#This Row],[Father Name]])</f>
        <v>M.Ejaz</v>
      </c>
      <c r="E2" s="1"/>
      <c r="F2" s="1" t="s">
        <v>120</v>
      </c>
      <c r="G2" s="1" t="s">
        <v>69</v>
      </c>
      <c r="H2" s="1" t="s">
        <v>14</v>
      </c>
      <c r="I2" s="1" t="s">
        <v>98</v>
      </c>
      <c r="J2" s="1" t="s">
        <v>99</v>
      </c>
      <c r="K2" s="1" t="s">
        <v>17</v>
      </c>
      <c r="L2" s="3" t="s">
        <v>121</v>
      </c>
    </row>
    <row r="3" spans="1:12" x14ac:dyDescent="0.2">
      <c r="A3" s="2">
        <v>2</v>
      </c>
      <c r="B3" s="1">
        <v>411633</v>
      </c>
      <c r="C3" s="1" t="str">
        <f ca="1">PROPER(Table4[[#This Row],[Student Name]])</f>
        <v>Itifaq Ahmed</v>
      </c>
      <c r="D3" s="1" t="str">
        <f ca="1">PROPER(Table4[[#This Row],[Father Name]])</f>
        <v>Dildar</v>
      </c>
      <c r="E3" s="1"/>
      <c r="F3" s="1" t="s">
        <v>122</v>
      </c>
      <c r="G3" s="1" t="s">
        <v>69</v>
      </c>
      <c r="H3" s="1" t="s">
        <v>14</v>
      </c>
      <c r="I3" s="1" t="s">
        <v>98</v>
      </c>
      <c r="J3" s="1" t="s">
        <v>99</v>
      </c>
      <c r="K3" s="1" t="s">
        <v>17</v>
      </c>
      <c r="L3" s="3" t="s">
        <v>121</v>
      </c>
    </row>
    <row r="4" spans="1:12" x14ac:dyDescent="0.2">
      <c r="A4" s="2">
        <v>3</v>
      </c>
      <c r="B4" s="1">
        <v>402580</v>
      </c>
      <c r="C4" s="1" t="str">
        <f ca="1">PROPER(Table4[[#This Row],[Student Name]])</f>
        <v xml:space="preserve">Khizar Ahsan </v>
      </c>
      <c r="D4" s="1" t="str">
        <f ca="1">PROPER(Table4[[#This Row],[Father Name]])</f>
        <v xml:space="preserve">Nisar Ahmed </v>
      </c>
      <c r="E4" s="1"/>
      <c r="F4" s="1" t="s">
        <v>123</v>
      </c>
      <c r="G4" s="1" t="s">
        <v>69</v>
      </c>
      <c r="H4" s="1" t="s">
        <v>14</v>
      </c>
      <c r="I4" s="1" t="s">
        <v>98</v>
      </c>
      <c r="J4" s="1" t="s">
        <v>99</v>
      </c>
      <c r="K4" s="1" t="s">
        <v>17</v>
      </c>
      <c r="L4" s="3" t="s">
        <v>121</v>
      </c>
    </row>
    <row r="5" spans="1:12" x14ac:dyDescent="0.2">
      <c r="A5" s="2">
        <v>4</v>
      </c>
      <c r="B5" s="1">
        <v>412200</v>
      </c>
      <c r="C5" s="1" t="str">
        <f ca="1">PROPER(Table4[[#This Row],[Student Name]])</f>
        <v xml:space="preserve">Shoaib </v>
      </c>
      <c r="D5" s="1" t="str">
        <f ca="1">PROPER(Table4[[#This Row],[Father Name]])</f>
        <v>Miraj</v>
      </c>
      <c r="E5" s="1"/>
      <c r="F5" s="1" t="s">
        <v>124</v>
      </c>
      <c r="G5" s="1" t="s">
        <v>69</v>
      </c>
      <c r="H5" s="1" t="s">
        <v>14</v>
      </c>
      <c r="I5" s="1" t="s">
        <v>98</v>
      </c>
      <c r="J5" s="1" t="s">
        <v>99</v>
      </c>
      <c r="K5" s="1" t="s">
        <v>17</v>
      </c>
      <c r="L5" s="3" t="s">
        <v>121</v>
      </c>
    </row>
    <row r="6" spans="1:12" x14ac:dyDescent="0.2">
      <c r="A6" s="2">
        <v>5</v>
      </c>
      <c r="B6" s="1">
        <v>395794</v>
      </c>
      <c r="C6" s="1" t="str">
        <f ca="1">PROPER(Table4[[#This Row],[Student Name]])</f>
        <v xml:space="preserve">Raufullah </v>
      </c>
      <c r="D6" s="1" t="str">
        <f ca="1">PROPER(Table4[[#This Row],[Father Name]])</f>
        <v>Ziaullah</v>
      </c>
      <c r="E6" s="1"/>
      <c r="F6" s="1" t="s">
        <v>125</v>
      </c>
      <c r="G6" s="1" t="s">
        <v>69</v>
      </c>
      <c r="H6" s="1" t="s">
        <v>14</v>
      </c>
      <c r="I6" s="1" t="s">
        <v>98</v>
      </c>
      <c r="J6" s="1" t="s">
        <v>99</v>
      </c>
      <c r="K6" s="1" t="s">
        <v>17</v>
      </c>
      <c r="L6" s="3" t="s">
        <v>121</v>
      </c>
    </row>
    <row r="7" spans="1:12" x14ac:dyDescent="0.2">
      <c r="A7" s="2">
        <v>6</v>
      </c>
      <c r="B7" s="1">
        <v>409856</v>
      </c>
      <c r="C7" s="1" t="str">
        <f ca="1">PROPER(Table4[[#This Row],[Student Name]])</f>
        <v xml:space="preserve">Muhammad Adnan </v>
      </c>
      <c r="D7" s="1" t="str">
        <f ca="1">PROPER(Table4[[#This Row],[Father Name]])</f>
        <v>Saif-Ur- Rehman</v>
      </c>
      <c r="E7" s="1"/>
      <c r="F7" s="1" t="s">
        <v>126</v>
      </c>
      <c r="G7" s="1" t="s">
        <v>69</v>
      </c>
      <c r="H7" s="1" t="s">
        <v>14</v>
      </c>
      <c r="I7" s="1" t="s">
        <v>98</v>
      </c>
      <c r="J7" s="1" t="s">
        <v>99</v>
      </c>
      <c r="K7" s="1" t="s">
        <v>17</v>
      </c>
      <c r="L7" s="3" t="s">
        <v>121</v>
      </c>
    </row>
    <row r="8" spans="1:12" x14ac:dyDescent="0.2">
      <c r="A8" s="2">
        <v>7</v>
      </c>
      <c r="B8" s="1">
        <v>413789</v>
      </c>
      <c r="C8" s="1" t="str">
        <f ca="1">PROPER(Table4[[#This Row],[Student Name]])</f>
        <v>Ahtisham</v>
      </c>
      <c r="D8" s="1" t="str">
        <f ca="1">PROPER(Table4[[#This Row],[Father Name]])</f>
        <v>Izharali</v>
      </c>
      <c r="E8" s="1"/>
      <c r="F8" s="1" t="s">
        <v>127</v>
      </c>
      <c r="G8" s="1" t="s">
        <v>69</v>
      </c>
      <c r="H8" s="1" t="s">
        <v>14</v>
      </c>
      <c r="I8" s="1" t="s">
        <v>98</v>
      </c>
      <c r="J8" s="1" t="s">
        <v>99</v>
      </c>
      <c r="K8" s="1" t="s">
        <v>17</v>
      </c>
      <c r="L8" s="3" t="s">
        <v>121</v>
      </c>
    </row>
    <row r="9" spans="1:12" x14ac:dyDescent="0.2">
      <c r="A9" s="2">
        <v>8</v>
      </c>
      <c r="B9" s="1">
        <v>476878</v>
      </c>
      <c r="C9" s="1" t="str">
        <f ca="1">PROPER(Table4[[#This Row],[Student Name]])</f>
        <v xml:space="preserve">Adnan Ahmed </v>
      </c>
      <c r="D9" s="1" t="str">
        <f ca="1">PROPER(Table4[[#This Row],[Father Name]])</f>
        <v>Muhammad Saffdar</v>
      </c>
      <c r="E9" s="1"/>
      <c r="F9" s="1" t="s">
        <v>128</v>
      </c>
      <c r="G9" s="1" t="s">
        <v>69</v>
      </c>
      <c r="H9" s="1" t="s">
        <v>14</v>
      </c>
      <c r="I9" s="1" t="s">
        <v>98</v>
      </c>
      <c r="J9" s="1" t="s">
        <v>99</v>
      </c>
      <c r="K9" s="1" t="s">
        <v>17</v>
      </c>
      <c r="L9" s="3" t="s">
        <v>121</v>
      </c>
    </row>
    <row r="10" spans="1:12" x14ac:dyDescent="0.2">
      <c r="A10" s="2">
        <v>9</v>
      </c>
      <c r="B10" s="1">
        <v>476936</v>
      </c>
      <c r="C10" s="1" t="str">
        <f ca="1">PROPER(Table4[[#This Row],[Student Name]])</f>
        <v>Adil Shams</v>
      </c>
      <c r="D10" s="1" t="str">
        <f ca="1">PROPER(Table4[[#This Row],[Father Name]])</f>
        <v>Shams-U-Rehman</v>
      </c>
      <c r="E10" s="1"/>
      <c r="F10" s="1" t="s">
        <v>129</v>
      </c>
      <c r="G10" s="1" t="s">
        <v>69</v>
      </c>
      <c r="H10" s="1" t="s">
        <v>14</v>
      </c>
      <c r="I10" s="1" t="s">
        <v>98</v>
      </c>
      <c r="J10" s="1" t="s">
        <v>99</v>
      </c>
      <c r="K10" s="1" t="s">
        <v>17</v>
      </c>
      <c r="L10" s="3" t="s">
        <v>121</v>
      </c>
    </row>
    <row r="11" spans="1:12" x14ac:dyDescent="0.2">
      <c r="A11" s="2">
        <v>10</v>
      </c>
      <c r="B11" s="1">
        <v>478649</v>
      </c>
      <c r="C11" s="1" t="str">
        <f ca="1">PROPER(Table4[[#This Row],[Student Name]])</f>
        <v>Abu Huraira</v>
      </c>
      <c r="D11" s="1" t="str">
        <f ca="1">PROPER(Table4[[#This Row],[Father Name]])</f>
        <v>Inam Ullah</v>
      </c>
      <c r="E11" s="1"/>
      <c r="F11" s="1" t="s">
        <v>130</v>
      </c>
      <c r="G11" s="1" t="s">
        <v>69</v>
      </c>
      <c r="H11" s="1" t="s">
        <v>14</v>
      </c>
      <c r="I11" s="1" t="s">
        <v>98</v>
      </c>
      <c r="J11" s="1" t="s">
        <v>99</v>
      </c>
      <c r="K11" s="1" t="s">
        <v>17</v>
      </c>
      <c r="L11" s="3" t="s">
        <v>121</v>
      </c>
    </row>
    <row r="12" spans="1:12" x14ac:dyDescent="0.2">
      <c r="A12" s="2">
        <v>11</v>
      </c>
      <c r="B12" s="1">
        <v>479398</v>
      </c>
      <c r="C12" s="1" t="str">
        <f ca="1">PROPER(Table4[[#This Row],[Student Name]])</f>
        <v xml:space="preserve">Muhammad Muzammil </v>
      </c>
      <c r="D12" s="1" t="str">
        <f ca="1">PROPER(Table4[[#This Row],[Father Name]])</f>
        <v xml:space="preserve">Muhammad Iqbal </v>
      </c>
      <c r="E12" s="1"/>
      <c r="F12" s="1" t="s">
        <v>131</v>
      </c>
      <c r="G12" s="1" t="s">
        <v>69</v>
      </c>
      <c r="H12" s="1" t="s">
        <v>14</v>
      </c>
      <c r="I12" s="1" t="s">
        <v>98</v>
      </c>
      <c r="J12" s="1" t="s">
        <v>99</v>
      </c>
      <c r="K12" s="1" t="s">
        <v>17</v>
      </c>
      <c r="L12" s="3" t="s">
        <v>121</v>
      </c>
    </row>
    <row r="13" spans="1:12" x14ac:dyDescent="0.2">
      <c r="A13" s="2">
        <v>12</v>
      </c>
      <c r="B13" s="1">
        <v>476898</v>
      </c>
      <c r="C13" s="1" t="str">
        <f ca="1">PROPER(Table4[[#This Row],[Student Name]])</f>
        <v>Abdulrehman</v>
      </c>
      <c r="D13" s="1" t="str">
        <f ca="1">PROPER(Table4[[#This Row],[Father Name]])</f>
        <v>Shoukat Ali</v>
      </c>
      <c r="E13" s="1"/>
      <c r="F13" s="1" t="s">
        <v>132</v>
      </c>
      <c r="G13" s="1" t="s">
        <v>69</v>
      </c>
      <c r="H13" s="1" t="s">
        <v>14</v>
      </c>
      <c r="I13" s="1" t="s">
        <v>98</v>
      </c>
      <c r="J13" s="1" t="s">
        <v>99</v>
      </c>
      <c r="K13" s="1" t="s">
        <v>17</v>
      </c>
      <c r="L13" s="3" t="s">
        <v>121</v>
      </c>
    </row>
    <row r="14" spans="1:12" x14ac:dyDescent="0.2">
      <c r="A14" s="4">
        <v>13</v>
      </c>
      <c r="B14" s="5">
        <v>487823</v>
      </c>
      <c r="C14" s="5" t="str">
        <f ca="1">PROPER(Table4[[#This Row],[Student Name]])</f>
        <v>Syed Mustafa Hussain</v>
      </c>
      <c r="D14" s="5" t="str">
        <f ca="1">PROPER(Table4[[#This Row],[Father Name]])</f>
        <v>Syed Saghir Hussain Shah</v>
      </c>
      <c r="E14" s="5"/>
      <c r="F14" s="5" t="s">
        <v>133</v>
      </c>
      <c r="G14" s="5" t="s">
        <v>69</v>
      </c>
      <c r="H14" s="5" t="s">
        <v>14</v>
      </c>
      <c r="I14" s="5" t="s">
        <v>98</v>
      </c>
      <c r="J14" s="5" t="s">
        <v>99</v>
      </c>
      <c r="K14" s="5" t="s">
        <v>17</v>
      </c>
      <c r="L14" s="6" t="s">
        <v>121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CIT(F)-8568</vt:lpstr>
      <vt:lpstr>CIT(M)-8517</vt:lpstr>
      <vt:lpstr>CIT(F)-8567</vt:lpstr>
      <vt:lpstr>CIT(M)-8516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KHIDMAT</dc:creator>
  <cp:lastModifiedBy>Ar Khan</cp:lastModifiedBy>
  <dcterms:created xsi:type="dcterms:W3CDTF">2025-11-18T10:01:04Z</dcterms:created>
  <dcterms:modified xsi:type="dcterms:W3CDTF">2025-12-13T07:04:12Z</dcterms:modified>
</cp:coreProperties>
</file>